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zet" sheetId="1" state="visible" r:id="rId1"/>
    <sheet name="Geliştirme_Araclari" sheetId="2" state="visible" r:id="rId2"/>
    <sheet name="Sunucu_Barindirma" sheetId="3" state="visible" r:id="rId3"/>
    <sheet name="AI_Uretim" sheetId="4" state="visible" r:id="rId4"/>
    <sheet name="24_Ay_Senaryo" sheetId="5" state="visible" r:id="rId5"/>
    <sheet name="Sozlesme_Maddeleri" sheetId="6" state="visible" r:id="rId6"/>
    <sheet name="Canli_AltYapi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;\(#,##0\);\-"/>
    <numFmt numFmtId="165" formatCode="\$#,##0.00;&quot;($&quot;#,##0.00\);\-"/>
    <numFmt numFmtId="166" formatCode="#,##0&quot; TL&quot;;\(#,##0&quot;) TL&quot;;\-"/>
    <numFmt numFmtId="167" formatCode="$0.000"/>
    <numFmt numFmtId="168" formatCode="$#,##0"/>
    <numFmt numFmtId="169" formatCode="€#,##0"/>
    <numFmt numFmtId="170" formatCode="$0.0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B1B33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0B1B33"/>
      <sz val="12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B1B33"/>
      <sz val="11"/>
    </font>
    <font>
      <name val="Arial"/>
      <charset val="1"/>
      <family val="0"/>
      <b val="1"/>
      <i val="1"/>
      <color rgb="FFA88A4F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B1B33"/>
      <sz val="10"/>
    </font>
    <font>
      <name val="Arial"/>
      <charset val="1"/>
      <family val="0"/>
      <b val="1"/>
      <i val="1"/>
      <color rgb="FFA88A4F"/>
      <sz val="10"/>
    </font>
    <font>
      <b val="1"/>
      <sz val="12"/>
    </font>
    <font>
      <b val="1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FFFFF7D6"/>
        <bgColor rgb="FFF8F6F1"/>
      </patternFill>
    </fill>
    <fill>
      <patternFill patternType="solid">
        <fgColor rgb="FF0B1B33"/>
        <bgColor rgb="FF003300"/>
      </patternFill>
    </fill>
    <fill>
      <patternFill patternType="solid">
        <fgColor rgb="FFF8F6F1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AE0"/>
        <bgColor rgb="FFF8F6F1"/>
      </patternFill>
    </fill>
    <fill>
      <patternFill patternType="solid">
        <fgColor rgb="00D9E1F2"/>
      </patternFill>
    </fill>
    <fill>
      <patternFill patternType="solid">
        <fgColor rgb="001F3A5F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B1B33"/>
      </bottom>
      <diagonal/>
    </border>
    <border>
      <left style="thin">
        <color rgb="FFD9D3C5"/>
      </left>
      <right style="thin">
        <color rgb="FFD9D3C5"/>
      </right>
      <top style="thin">
        <color rgb="FFD9D3C5"/>
      </top>
      <bottom style="thin">
        <color rgb="FFD9D3C5"/>
      </bottom>
      <diagonal/>
    </border>
    <border>
      <left/>
      <right/>
      <top style="thin">
        <color rgb="FFD9D3C5"/>
      </top>
      <bottom/>
      <diagonal/>
    </border>
    <border>
      <left/>
      <right style="thin">
        <color rgb="FFD9D3C5"/>
      </right>
      <top style="thin">
        <color rgb="FFD9D3C5"/>
      </top>
      <bottom/>
      <diagonal/>
    </border>
    <border>
      <left/>
      <right/>
      <top style="thin">
        <color rgb="FFD9D3C5"/>
      </top>
      <bottom style="thin">
        <color rgb="FFD9D3C5"/>
      </bottom>
      <diagonal/>
    </border>
    <border>
      <left/>
      <right style="thin">
        <color rgb="FFD9D3C5"/>
      </right>
      <top style="thin">
        <color rgb="FFD9D3C5"/>
      </top>
      <bottom style="thin">
        <color rgb="FFD9D3C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2" fontId="7" fillId="2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left" vertical="center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6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0" fontId="13" fillId="6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pivotButton="0" quotePrefix="0" xfId="0"/>
    <xf numFmtId="2" fontId="7" fillId="2" borderId="0" applyAlignment="1" pivotButton="0" quotePrefix="0" xfId="0">
      <alignment horizontal="general" vertical="bottom"/>
    </xf>
    <xf numFmtId="164" fontId="7" fillId="2" borderId="0" applyAlignment="1" pivotButton="0" quotePrefix="0" xfId="0">
      <alignment horizontal="general" vertical="bottom"/>
    </xf>
    <xf numFmtId="0" fontId="8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0" fontId="13" fillId="6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7" borderId="0" pivotButton="0" quotePrefix="0" xfId="0"/>
    <xf numFmtId="0" fontId="0" fillId="7" borderId="0" pivotButton="0" quotePrefix="0" xfId="0"/>
    <xf numFmtId="0" fontId="17" fillId="8" borderId="0" pivotButton="0" quotePrefix="0" xfId="0"/>
    <xf numFmtId="0" fontId="18" fillId="0" borderId="0" applyAlignment="1" pivotButton="0" quotePrefix="0" xfId="0">
      <alignment vertical="top" wrapText="1"/>
    </xf>
    <xf numFmtId="1" fontId="7" fillId="2" borderId="0" applyAlignment="1" pivotButton="0" quotePrefix="0" xfId="0">
      <alignment horizontal="general" vertical="bottom"/>
    </xf>
    <xf numFmtId="9" fontId="7" fillId="2" borderId="0" applyAlignment="1" pivotButton="0" quotePrefix="0" xfId="0">
      <alignment horizontal="general" vertical="bottom"/>
    </xf>
    <xf numFmtId="167" fontId="7" fillId="2" borderId="0" applyAlignment="1" pivotButton="0" quotePrefix="0" xfId="0">
      <alignment horizontal="general" vertical="bottom"/>
    </xf>
    <xf numFmtId="167" fontId="12" fillId="0" borderId="0" applyAlignment="1" pivotButton="0" quotePrefix="0" xfId="0">
      <alignment horizontal="general" vertical="bottom"/>
    </xf>
    <xf numFmtId="168" fontId="7" fillId="2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170" fontId="7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5"/>
      <rgbColor rgb="FF808080"/>
      <rgbColor rgb="FF9999FF"/>
      <rgbColor rgb="FF993366"/>
      <rgbColor rgb="FFFFF7D6"/>
      <rgbColor rgb="FFF8F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A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A88A4F"/>
      <rgbColor rgb="FF0B1B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26" min="1" max="1"/>
    <col width="16" customWidth="1" style="26" min="2" max="4"/>
    <col width="18" customWidth="1" style="26" min="5" max="5"/>
    <col width="35" customWidth="1" style="26" min="6" max="6"/>
    <col width="14" customWidth="1" style="26" min="7" max="7"/>
  </cols>
  <sheetData>
    <row r="1" ht="27.75" customHeight="1" s="27">
      <c r="A1" s="28" t="inlineStr">
        <is>
          <t>GBSoft — Akıllı Otel Turu  |  Fiyatlandırma Modeli</t>
        </is>
      </c>
    </row>
    <row r="2" ht="15" customHeight="1" s="27">
      <c r="A2" s="29" t="inlineStr">
        <is>
          <t>Solo geliştirme + AI agentic tooling, platforma devir + bakım modeli</t>
        </is>
      </c>
    </row>
    <row r="4" ht="15" customHeight="1" s="27">
      <c r="A4" s="30" t="inlineStr">
        <is>
          <t>PARAMETRELER</t>
        </is>
      </c>
      <c r="B4" s="31" t="n"/>
      <c r="C4" s="31" t="n"/>
      <c r="D4" s="31" t="n"/>
      <c r="E4" s="31" t="n"/>
      <c r="F4" s="31" t="n"/>
      <c r="G4" s="31" t="n"/>
    </row>
    <row r="5" ht="15" customHeight="1" s="27">
      <c r="A5" s="26" t="inlineStr">
        <is>
          <t>USD/TL kuru</t>
        </is>
      </c>
      <c r="B5" s="32" t="n">
        <v>40</v>
      </c>
      <c r="C5" s="29" t="inlineStr">
        <is>
          <t>← Tahmin: Nisan 2026 ortalama. Değiştirebilirsin.</t>
        </is>
      </c>
    </row>
    <row r="6" ht="15" customHeight="1" s="27">
      <c r="A6" s="26" t="inlineStr">
        <is>
          <t>Geliştirme süresi (ay)</t>
        </is>
      </c>
      <c r="B6" s="33" t="n">
        <v>6</v>
      </c>
      <c r="C6" s="29" t="inlineStr">
        <is>
          <t>← Solo + AI agentic tooling ile gerçekçi süre</t>
        </is>
      </c>
    </row>
    <row r="7" ht="15" customHeight="1" s="27">
      <c r="A7" s="26" t="inlineStr">
        <is>
          <t>Bakım süresi (ay)</t>
        </is>
      </c>
      <c r="B7" s="33" t="n">
        <v>24</v>
      </c>
      <c r="C7" s="29" t="inlineStr">
        <is>
          <t>← Devir sonrası retainer süresi</t>
        </is>
      </c>
    </row>
    <row r="8" ht="15" customHeight="1" s="27">
      <c r="A8" s="26" t="inlineStr">
        <is>
          <t>Hedef otel sayısı (üretim)</t>
        </is>
      </c>
      <c r="B8" s="33" t="n">
        <v>10</v>
      </c>
      <c r="C8" s="29" t="inlineStr">
        <is>
          <t>← Platform üzerindeki tahmini otel sayısı (AI maliyet ölçeği için)</t>
        </is>
      </c>
    </row>
    <row r="10" ht="15" customHeight="1" s="27">
      <c r="A10" s="30" t="inlineStr">
        <is>
          <t>AYLIK MASRAF ÖZETİ</t>
        </is>
      </c>
      <c r="B10" s="31" t="n"/>
      <c r="C10" s="31" t="n"/>
      <c r="D10" s="31" t="n"/>
      <c r="E10" s="31" t="n"/>
      <c r="F10" s="31" t="n"/>
      <c r="G10" s="31" t="n"/>
    </row>
    <row r="11" ht="15" customHeight="1" s="27">
      <c r="A11" s="34" t="inlineStr">
        <is>
          <t>Kalem</t>
        </is>
      </c>
      <c r="B11" s="34" t="inlineStr">
        <is>
          <t>USD/ay</t>
        </is>
      </c>
      <c r="C11" s="34" t="inlineStr">
        <is>
          <t>TL/ay</t>
        </is>
      </c>
      <c r="D11" s="34" t="inlineStr">
        <is>
          <t>Notlar</t>
        </is>
      </c>
      <c r="E11" s="35" t="n"/>
      <c r="F11" s="35" t="n"/>
      <c r="G11" s="36" t="n"/>
    </row>
    <row r="12" ht="15" customHeight="1" s="27">
      <c r="A12" s="26" t="inlineStr">
        <is>
          <t>Geliştirme araçları (agentic + IDE + tasarım)</t>
        </is>
      </c>
      <c r="B12" s="37">
        <f>Geliştirme_Araclari!E20</f>
        <v/>
      </c>
      <c r="C12" s="38">
        <f>Geliştirme_Araclari!F20</f>
        <v/>
      </c>
      <c r="D12" s="29" t="inlineStr">
        <is>
          <t>Claude Max, Cursor, Copilot, Figma, vs.</t>
        </is>
      </c>
    </row>
    <row r="13" ht="15" customHeight="1" s="27">
      <c r="A13" s="26" t="inlineStr">
        <is>
          <t>Sunucu, barındırma &amp; altyapı (geliştirme/erken üretim)</t>
        </is>
      </c>
      <c r="B13" s="37">
        <f>Sunucu_Barindirma!E19</f>
        <v/>
      </c>
      <c r="C13" s="38">
        <f>Sunucu_Barindirma!F19</f>
        <v/>
      </c>
      <c r="D13" s="29" t="inlineStr">
        <is>
          <t>Vercel, Supabase, Cloudflare Stream, R2, vs.</t>
        </is>
      </c>
    </row>
    <row r="14" ht="15" customHeight="1" s="27">
      <c r="A14" s="39" t="inlineStr">
        <is>
          <t>TOPLAM aylık (geliştirme dönemi)</t>
        </is>
      </c>
      <c r="B14" s="40">
        <f>SUM(B12:B13)</f>
        <v/>
      </c>
      <c r="C14" s="41">
        <f>SUM(C12:C13)</f>
        <v/>
      </c>
    </row>
    <row r="16" ht="15" customHeight="1" s="27">
      <c r="A16" s="26" t="inlineStr">
        <is>
          <t>AI üretim maliyeti (otel başı, ÖNEMLİ: alıcı öder)</t>
        </is>
      </c>
      <c r="B16" s="37">
        <f>AI_Uretim!D27</f>
        <v/>
      </c>
      <c r="C16" s="38">
        <f>AI_Uretim!D28</f>
        <v/>
      </c>
      <c r="D16" s="42" t="inlineStr">
        <is>
          <t>← Sözleşmede alıcının kendi LLM/STT/TTS hesabından ödenir</t>
        </is>
      </c>
    </row>
    <row r="18" ht="15" customHeight="1" s="27">
      <c r="A18" s="43" t="inlineStr">
        <is>
          <t>GELİŞTİRME DÖNEMİ TOPLAM MASRAF (6 ay)</t>
        </is>
      </c>
    </row>
    <row r="19" ht="15" customHeight="1" s="27">
      <c r="A19" s="26" t="inlineStr">
        <is>
          <t>Aylık masraf × ay</t>
        </is>
      </c>
      <c r="B19" s="44">
        <f>C14*B6</f>
        <v/>
      </c>
      <c r="C19" s="29" t="inlineStr">
        <is>
          <t>← 6 ay tam zamanlı süre, hosting + tooling</t>
        </is>
      </c>
    </row>
    <row r="20" ht="15" customHeight="1" s="27">
      <c r="A20" s="26" t="inlineStr">
        <is>
          <t>Yaşam gideri (kişisel, ortalama)</t>
        </is>
      </c>
      <c r="B20" s="45" t="n">
        <v>45000</v>
      </c>
      <c r="C20" s="29" t="inlineStr">
        <is>
          <t>← Aylık kişisel yaşam gideri (Türkiye ortalama)</t>
        </is>
      </c>
    </row>
    <row r="21" ht="15" customHeight="1" s="27">
      <c r="A21" s="26" t="inlineStr">
        <is>
          <t>Yaşam gideri × 6 ay</t>
        </is>
      </c>
      <c r="B21" s="44">
        <f>B20*B6</f>
        <v/>
      </c>
    </row>
    <row r="22" ht="15" customHeight="1" s="27">
      <c r="A22" s="39" t="inlineStr">
        <is>
          <t>TOPLAM 6 aylık runway</t>
        </is>
      </c>
      <c r="B22" s="41">
        <f>B19+B21</f>
        <v/>
      </c>
    </row>
    <row r="24" ht="15" customHeight="1" s="27">
      <c r="A24" s="30" t="inlineStr">
        <is>
          <t>MÜŞTERİ FİYAT TEKLİFİ — 3 SENARYO</t>
        </is>
      </c>
      <c r="B24" s="31" t="n"/>
      <c r="C24" s="31" t="n"/>
      <c r="D24" s="31" t="n"/>
      <c r="E24" s="31" t="n"/>
      <c r="F24" s="31" t="n"/>
      <c r="G24" s="31" t="n"/>
    </row>
    <row r="25" ht="15" customHeight="1" s="27">
      <c r="A25" s="34" t="inlineStr">
        <is>
          <t>Senaryo</t>
        </is>
      </c>
      <c r="B25" s="34" t="inlineStr">
        <is>
          <t>Devir bedeli</t>
        </is>
      </c>
      <c r="C25" s="34" t="inlineStr">
        <is>
          <t>Bakım/ay</t>
        </is>
      </c>
      <c r="D25" s="34" t="inlineStr">
        <is>
          <t>Bakım toplamı</t>
        </is>
      </c>
      <c r="E25" s="34" t="inlineStr">
        <is>
          <t>Anlaşma toplamı</t>
        </is>
      </c>
      <c r="F25" s="34" t="inlineStr">
        <is>
          <t>Notlar</t>
        </is>
      </c>
      <c r="G25" s="36" t="n"/>
    </row>
    <row r="26" ht="15" customHeight="1" s="27">
      <c r="A26" s="26" t="inlineStr">
        <is>
          <t>A) Konservatif (alt sınır)</t>
        </is>
      </c>
      <c r="B26" s="45" t="n">
        <v>800000</v>
      </c>
      <c r="C26" s="45" t="n">
        <v>35000</v>
      </c>
      <c r="D26" s="44">
        <f>C26*$B$7</f>
        <v/>
      </c>
      <c r="E26" s="44">
        <f>B26+D26</f>
        <v/>
      </c>
      <c r="F26" s="29" t="inlineStr">
        <is>
          <t>İlk teklifin altına inilmez kırmızı çizgi</t>
        </is>
      </c>
    </row>
    <row r="27" ht="15" customHeight="1" s="27">
      <c r="A27" s="46" t="inlineStr">
        <is>
          <t>B) Hedef (önerilen)</t>
        </is>
      </c>
      <c r="B27" s="45" t="n">
        <v>1000000</v>
      </c>
      <c r="C27" s="45" t="n">
        <v>50000</v>
      </c>
      <c r="D27" s="44">
        <f>C27*$B$7</f>
        <v/>
      </c>
      <c r="E27" s="44">
        <f>B27+D27</f>
        <v/>
      </c>
      <c r="F27" s="29" t="inlineStr">
        <is>
          <t>Kesinleşmiş hedef satış fiyatı</t>
        </is>
      </c>
    </row>
    <row r="28" ht="15" customHeight="1" s="27">
      <c r="A28" s="26" t="inlineStr">
        <is>
          <t>C) Premium / anchor</t>
        </is>
      </c>
      <c r="B28" s="45" t="n">
        <v>1300000</v>
      </c>
      <c r="C28" s="45" t="n">
        <v>65000</v>
      </c>
      <c r="D28" s="44">
        <f>C28*$B$7</f>
        <v/>
      </c>
      <c r="E28" s="44">
        <f>B28+D28</f>
        <v/>
      </c>
      <c r="F28" s="29" t="inlineStr">
        <is>
          <t>İlk teklif (anchor); buradan inerek B'ye gel</t>
        </is>
      </c>
    </row>
    <row r="30" ht="15" customHeight="1" s="27">
      <c r="A30" s="30" t="inlineStr">
        <is>
          <t>PROJE NET KÂR (Geliştirme + Bakım toplam süre)</t>
        </is>
      </c>
      <c r="B30" s="31" t="n"/>
      <c r="C30" s="31" t="n"/>
      <c r="D30" s="31" t="n"/>
      <c r="E30" s="31" t="n"/>
      <c r="F30" s="31" t="n"/>
      <c r="G30" s="31" t="n"/>
    </row>
    <row r="31" ht="15" customHeight="1" s="27">
      <c r="A31" s="26" t="inlineStr">
        <is>
          <t>Toplam gelir (devir + bakım)</t>
        </is>
      </c>
      <c r="B31" s="38">
        <f>E27</f>
        <v/>
      </c>
    </row>
    <row r="32" ht="15" customHeight="1" s="27">
      <c r="A32" s="26" t="inlineStr">
        <is>
          <t>Geliştirme dönemi maliyet (6 ay)</t>
        </is>
      </c>
      <c r="B32" s="44">
        <f>-B22</f>
        <v/>
      </c>
    </row>
    <row r="33" ht="15" customHeight="1" s="27">
      <c r="A33" s="26" t="inlineStr">
        <is>
          <t>Bakım dönemi maliyet (Bakım süresi × tooling)</t>
        </is>
      </c>
      <c r="B33" s="44">
        <f>-Geliştirme_Araclari!E31*Ozet!B7</f>
        <v/>
      </c>
      <c r="C33" s="29" t="inlineStr">
        <is>
          <t>← Bakım minimum stack: Claude Max + Cursor + GitHub + Notion + Muhasebe</t>
        </is>
      </c>
    </row>
    <row r="34" ht="15" customHeight="1" s="27">
      <c r="A34" s="39" t="inlineStr">
        <is>
          <t>NET KÂR (24 ay)</t>
        </is>
      </c>
      <c r="B34" s="41">
        <f>SUM(B31:B33)</f>
        <v/>
      </c>
    </row>
    <row r="35" ht="140" customHeight="1" s="27">
      <c r="A35" s="54" t="inlineStr">
        <is>
          <t>Fiyat kaynakları (güncel resmi — kontrol tarihi Nisan 2026):
• Postgres (self-hosted Docker) — VPS içinde, ayrı ücret yok; pg_dump→R2 backup.
• DigitalOcean Droplet — digitalocean.com/pricing ($24/ay dev, $48/ay üretim); Docker Compose.
• Bunny Stream — bunny.net/stream (encoding ücretsiz; $0.01/GB-ay depolama; $0.005/GB delivery Avrupa/TR).
• Cloudflare R2 — developers.cloudflare.com/r2/pricing ($0.015/GB-ay).
• Claude Max — claude.com/pricing/max (Max 5x $100/ay).
• Cursor Pro — cursor.com/pricing ($20/ay).
• Anthropic Claude API — docs.anthropic.com/pricing (örn. Sonnet $3/$15 per MTok).
• OpenAI API — openai.com/api/pricing (Whisper $0.006/dk, ücretler modele göre).
Özet USD satırları diğer sayfa referanslarından yeniden hesaplanır; TL = USD × Ozet!$B$5 kur tahmini.</t>
        </is>
      </c>
    </row>
    <row r="36"/>
    <row r="37"/>
    <row r="38"/>
    <row r="39"/>
  </sheetData>
  <mergeCells count="23">
    <mergeCell ref="C6:G6"/>
    <mergeCell ref="D12:G12"/>
    <mergeCell ref="F25:G25"/>
    <mergeCell ref="C33:G33"/>
    <mergeCell ref="A4:G4"/>
    <mergeCell ref="C5:G5"/>
    <mergeCell ref="A10:G10"/>
    <mergeCell ref="C20:G20"/>
    <mergeCell ref="A35:G39"/>
    <mergeCell ref="A24:G24"/>
    <mergeCell ref="A30:G30"/>
    <mergeCell ref="F26:G26"/>
    <mergeCell ref="A1:G1"/>
    <mergeCell ref="F28:G28"/>
    <mergeCell ref="D11:G11"/>
    <mergeCell ref="D13:G13"/>
    <mergeCell ref="C8:G8"/>
    <mergeCell ref="F27:G27"/>
    <mergeCell ref="C7:G7"/>
    <mergeCell ref="A18:G18"/>
    <mergeCell ref="D16:G16"/>
    <mergeCell ref="C19:G19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26" min="1" max="1"/>
    <col width="22" customWidth="1" style="26" min="2" max="2"/>
    <col width="18" customWidth="1" style="26" min="3" max="3"/>
    <col width="22" customWidth="1" style="26" min="4" max="4"/>
    <col width="12" customWidth="1" style="26" min="5" max="5"/>
    <col width="14" customWidth="1" style="26" min="6" max="6"/>
    <col width="50" customWidth="1" style="26" min="7" max="7"/>
  </cols>
  <sheetData>
    <row r="1" ht="24" customHeight="1" s="27">
      <c r="A1" s="28" t="inlineStr">
        <is>
          <t>Geliştirme Araçları (Agentic + IDE + Tasarım + Operasyon)</t>
        </is>
      </c>
    </row>
    <row r="2" ht="15" customHeight="1" s="27">
      <c r="A2" s="29" t="inlineStr">
        <is>
          <t>Solo geliştirici + AI agent tooling stack — aylık abonelik tabanlı</t>
        </is>
      </c>
    </row>
    <row r="4" ht="15" customHeight="1" s="27">
      <c r="A4" s="34" t="inlineStr">
        <is>
          <t>Kategori</t>
        </is>
      </c>
      <c r="B4" s="34" t="inlineStr">
        <is>
          <t>Ürün</t>
        </is>
      </c>
      <c r="C4" s="34" t="inlineStr">
        <is>
          <t>Sağlayıcı</t>
        </is>
      </c>
      <c r="D4" s="34" t="inlineStr">
        <is>
          <t>Plan</t>
        </is>
      </c>
      <c r="E4" s="34" t="inlineStr">
        <is>
          <t>USD/ay</t>
        </is>
      </c>
      <c r="F4" s="34" t="inlineStr">
        <is>
          <t>TL/ay</t>
        </is>
      </c>
      <c r="G4" s="34" t="inlineStr">
        <is>
          <t>Notlar</t>
        </is>
      </c>
    </row>
    <row r="5" ht="15" customHeight="1" s="27">
      <c r="A5" s="47" t="inlineStr">
        <is>
          <t>Agentic AI</t>
        </is>
      </c>
      <c r="B5" s="47" t="inlineStr">
        <is>
          <t>Claude Max 5x</t>
        </is>
      </c>
      <c r="C5" s="47" t="inlineStr">
        <is>
          <t>Anthropic</t>
        </is>
      </c>
      <c r="D5" s="47" t="inlineStr">
        <is>
          <t>Max 5x</t>
        </is>
      </c>
      <c r="E5" s="48" t="n">
        <v>100</v>
      </c>
      <c r="F5" s="44">
        <f>E5*Ozet!$B$5</f>
        <v/>
      </c>
      <c r="G5" s="29" t="inlineStr">
        <is>
          <t>claude.com/pricing/max — Max 5x $100/kişi/ay (web)</t>
        </is>
      </c>
    </row>
    <row r="6" ht="15" customHeight="1" s="27">
      <c r="A6" s="47" t="inlineStr">
        <is>
          <t>Agentic AI</t>
        </is>
      </c>
      <c r="B6" s="47" t="inlineStr">
        <is>
          <t>Cursor Pro</t>
        </is>
      </c>
      <c r="C6" s="47" t="inlineStr">
        <is>
          <t>Cursor</t>
        </is>
      </c>
      <c r="D6" s="47" t="inlineStr">
        <is>
          <t>Pro</t>
        </is>
      </c>
      <c r="E6" s="48" t="n">
        <v>20</v>
      </c>
      <c r="F6" s="44">
        <f>E6*Ozet!$B$5</f>
        <v/>
      </c>
      <c r="G6" s="29" t="inlineStr">
        <is>
          <t>cursor.com/pricing — Pro $20/ay</t>
        </is>
      </c>
    </row>
    <row r="7" ht="15" customHeight="1" s="27">
      <c r="A7" s="47" t="inlineStr">
        <is>
          <t>Agentic AI</t>
        </is>
      </c>
      <c r="B7" s="47" t="inlineStr">
        <is>
          <t>GitHub Copilot</t>
        </is>
      </c>
      <c r="C7" s="47" t="inlineStr">
        <is>
          <t>GitHub</t>
        </is>
      </c>
      <c r="D7" s="47" t="inlineStr">
        <is>
          <t>Kesildi</t>
        </is>
      </c>
      <c r="E7" s="48" t="n">
        <v>0</v>
      </c>
      <c r="F7" s="44">
        <f>E7*Ozet!$B$5</f>
        <v/>
      </c>
      <c r="G7" s="29" t="inlineStr">
        <is>
          <t>Cursor Pro ile çakışıyor — gereksiz</t>
        </is>
      </c>
    </row>
    <row r="8" ht="15" customHeight="1" s="27">
      <c r="A8" s="47" t="inlineStr">
        <is>
          <t>API testing</t>
        </is>
      </c>
      <c r="B8" s="47" t="inlineStr">
        <is>
          <t>Anthropic API</t>
        </is>
      </c>
      <c r="C8" s="47" t="inlineStr">
        <is>
          <t>Anthropic</t>
        </is>
      </c>
      <c r="D8" s="47" t="inlineStr">
        <is>
          <t>PAYG</t>
        </is>
      </c>
      <c r="E8" s="48" t="n">
        <v>75</v>
      </c>
      <c r="F8" s="44">
        <f>E8*Ozet!$B$5</f>
        <v/>
      </c>
      <c r="G8" s="29" t="inlineStr">
        <is>
          <t>console.anthropic.com — API Sonnet $3/$15 per MTok (docs.anthropic.com)</t>
        </is>
      </c>
    </row>
    <row r="9" ht="15" customHeight="1" s="27">
      <c r="A9" s="47" t="inlineStr">
        <is>
          <t>API testing</t>
        </is>
      </c>
      <c r="B9" s="47" t="inlineStr">
        <is>
          <t>OpenAI API</t>
        </is>
      </c>
      <c r="C9" s="47" t="inlineStr">
        <is>
          <t>OpenAI</t>
        </is>
      </c>
      <c r="D9" s="47" t="inlineStr">
        <is>
          <t>PAYG</t>
        </is>
      </c>
      <c r="E9" s="48" t="n">
        <v>25</v>
      </c>
      <c r="F9" s="44">
        <f>E9*Ozet!$B$5</f>
        <v/>
      </c>
      <c r="G9" s="29" t="inlineStr">
        <is>
          <t>platform.openai.com — GPT/API PAYG tahmini</t>
        </is>
      </c>
    </row>
    <row r="10" ht="15" customHeight="1" s="27">
      <c r="A10" s="47" t="inlineStr">
        <is>
          <t>Geliştirme</t>
        </is>
      </c>
      <c r="B10" s="47" t="inlineStr">
        <is>
          <t>GitHub Pro</t>
        </is>
      </c>
      <c r="C10" s="47" t="inlineStr">
        <is>
          <t>GitHub</t>
        </is>
      </c>
      <c r="D10" s="47" t="inlineStr">
        <is>
          <t>Free</t>
        </is>
      </c>
      <c r="E10" s="48" t="n">
        <v>0</v>
      </c>
      <c r="F10" s="44">
        <f>E10*Ozet!$B$5</f>
        <v/>
      </c>
      <c r="G10" s="29" t="inlineStr">
        <is>
          <t>Free tier: sınırsız private repo, yeterli</t>
        </is>
      </c>
    </row>
    <row r="11" ht="15" customHeight="1" s="27">
      <c r="A11" s="47" t="inlineStr">
        <is>
          <t>Geliştirme</t>
        </is>
      </c>
      <c r="B11" s="47" t="inlineStr">
        <is>
          <t>Vercel preview</t>
        </is>
      </c>
      <c r="C11" s="47" t="inlineStr">
        <is>
          <t>Vercel</t>
        </is>
      </c>
      <c r="D11" s="47" t="inlineStr">
        <is>
          <t>Pro</t>
        </is>
      </c>
      <c r="E11" s="48" t="n">
        <v>0</v>
      </c>
      <c r="F11" s="44">
        <f>E11*Ozet!$B$5</f>
        <v/>
      </c>
      <c r="G11" s="29" t="inlineStr">
        <is>
          <t>Hosting tarafında (Sunucu sayfasında)</t>
        </is>
      </c>
    </row>
    <row r="12" ht="15" customHeight="1" s="27">
      <c r="A12" s="47" t="inlineStr">
        <is>
          <t>Tasarım</t>
        </is>
      </c>
      <c r="B12" s="47" t="inlineStr">
        <is>
          <t>Figma Pro</t>
        </is>
      </c>
      <c r="C12" s="47" t="inlineStr">
        <is>
          <t>Figma</t>
        </is>
      </c>
      <c r="D12" s="47" t="inlineStr">
        <is>
          <t>Free</t>
        </is>
      </c>
      <c r="E12" s="48" t="n">
        <v>0</v>
      </c>
      <c r="F12" s="44">
        <f>E12*Ozet!$B$5</f>
        <v/>
      </c>
      <c r="G12" s="29" t="inlineStr">
        <is>
          <t>Free tier: 3 proje — solo dev için yeterli</t>
        </is>
      </c>
    </row>
    <row r="13" ht="15" customHeight="1" s="27">
      <c r="A13" s="47" t="inlineStr">
        <is>
          <t>Operasyon</t>
        </is>
      </c>
      <c r="B13" s="47" t="inlineStr">
        <is>
          <t>Notion</t>
        </is>
      </c>
      <c r="C13" s="47" t="inlineStr">
        <is>
          <t>Notion</t>
        </is>
      </c>
      <c r="D13" s="47" t="inlineStr">
        <is>
          <t>Free</t>
        </is>
      </c>
      <c r="E13" s="48" t="n">
        <v>0</v>
      </c>
      <c r="F13" s="44">
        <f>E13*Ozet!$B$5</f>
        <v/>
      </c>
      <c r="G13" s="29" t="inlineStr">
        <is>
          <t>Free tier: 1.000 blok — 6 ay için yeterli</t>
        </is>
      </c>
    </row>
    <row r="14" ht="15" customHeight="1" s="27">
      <c r="A14" s="47" t="inlineStr">
        <is>
          <t>Operasyon</t>
        </is>
      </c>
      <c r="B14" s="47" t="inlineStr">
        <is>
          <t>Linear</t>
        </is>
      </c>
      <c r="C14" s="47" t="inlineStr">
        <is>
          <t>Linear</t>
        </is>
      </c>
      <c r="D14" s="47" t="inlineStr">
        <is>
          <t>Free</t>
        </is>
      </c>
      <c r="E14" s="48" t="n">
        <v>0</v>
      </c>
      <c r="F14" s="44">
        <f>E14*Ozet!$B$5</f>
        <v/>
      </c>
      <c r="G14" s="29" t="inlineStr">
        <is>
          <t>GitHub Issues ile ikame — ücretsiz</t>
        </is>
      </c>
    </row>
    <row r="15" ht="15" customHeight="1" s="27">
      <c r="A15" s="47" t="inlineStr">
        <is>
          <t>Operasyon</t>
        </is>
      </c>
      <c r="B15" s="47" t="inlineStr">
        <is>
          <t>1Password</t>
        </is>
      </c>
      <c r="C15" s="47" t="inlineStr">
        <is>
          <t>1Password</t>
        </is>
      </c>
      <c r="D15" s="47" t="inlineStr">
        <is>
          <t>Free</t>
        </is>
      </c>
      <c r="E15" s="48" t="n">
        <v>0</v>
      </c>
      <c r="F15" s="44">
        <f>E15*Ozet!$B$5</f>
        <v/>
      </c>
      <c r="G15" s="29" t="inlineStr">
        <is>
          <t>Bitwarden free ile ikame</t>
        </is>
      </c>
    </row>
    <row r="16" ht="15" customHeight="1" s="27">
      <c r="A16" s="47" t="inlineStr">
        <is>
          <t>Operasyon</t>
        </is>
      </c>
      <c r="B16" s="47" t="inlineStr">
        <is>
          <t>Loom</t>
        </is>
      </c>
      <c r="C16" s="47" t="inlineStr">
        <is>
          <t>Loom</t>
        </is>
      </c>
      <c r="D16" s="47" t="inlineStr">
        <is>
          <t>Free</t>
        </is>
      </c>
      <c r="E16" s="48" t="n">
        <v>0</v>
      </c>
      <c r="F16" s="44">
        <f>E16*Ozet!$B$5</f>
        <v/>
      </c>
      <c r="G16" s="29" t="inlineStr">
        <is>
          <t>Free tier: 25 video — handover için yeterli</t>
        </is>
      </c>
    </row>
    <row r="17" ht="15" customHeight="1" s="27">
      <c r="A17" s="47" t="inlineStr">
        <is>
          <t>Yasal/Muhasebe</t>
        </is>
      </c>
      <c r="B17" s="47" t="inlineStr">
        <is>
          <t>Muhasebe (TR)</t>
        </is>
      </c>
      <c r="C17" s="47" t="inlineStr">
        <is>
          <t>Mali müşavir</t>
        </is>
      </c>
      <c r="D17" s="47" t="inlineStr">
        <is>
          <t>Ertelendi</t>
        </is>
      </c>
      <c r="E17" s="48" t="n">
        <v>0</v>
      </c>
      <c r="F17" s="44">
        <f>E17*Ozet!$B$5</f>
        <v/>
      </c>
      <c r="G17" s="29" t="inlineStr">
        <is>
          <t>Sözleşme öncesinde devreye al</t>
        </is>
      </c>
    </row>
    <row r="18" ht="15" customHeight="1" s="27">
      <c r="A18" s="47" t="inlineStr">
        <is>
          <t>Yasal/Muhasebe</t>
        </is>
      </c>
      <c r="B18" s="47" t="inlineStr">
        <is>
          <t>Sözleşme avukat</t>
        </is>
      </c>
      <c r="C18" s="47" t="inlineStr">
        <is>
          <t>Avukat</t>
        </is>
      </c>
      <c r="D18" s="47" t="inlineStr">
        <is>
          <t>Ertelendi</t>
        </is>
      </c>
      <c r="E18" s="48" t="n">
        <v>0</v>
      </c>
      <c r="F18" s="44">
        <f>E18*Ozet!$B$5</f>
        <v/>
      </c>
      <c r="G18" s="29" t="inlineStr">
        <is>
          <t>Sözleşme imzasında tek seferlik — aylık ayırma yok</t>
        </is>
      </c>
    </row>
    <row r="20" ht="15" customHeight="1" s="27">
      <c r="A20" s="39" t="inlineStr">
        <is>
          <t>TOPLAM (USD/ay)</t>
        </is>
      </c>
      <c r="B20" s="31" t="n"/>
      <c r="C20" s="31" t="n"/>
      <c r="D20" s="31" t="n"/>
      <c r="E20" s="40">
        <f>SUM(E5:E18)</f>
        <v/>
      </c>
      <c r="F20" s="41">
        <f>SUM(F5:F18)</f>
        <v/>
      </c>
    </row>
    <row r="22" ht="15" customHeight="1" s="27">
      <c r="A22" s="39" t="inlineStr">
        <is>
          <t>YILLIK TOPLAM</t>
        </is>
      </c>
      <c r="B22" s="31" t="n"/>
      <c r="C22" s="31" t="n"/>
      <c r="D22" s="31" t="n"/>
      <c r="E22" s="40">
        <f>E20*12</f>
        <v/>
      </c>
      <c r="F22" s="41">
        <f>F20*12</f>
        <v/>
      </c>
    </row>
    <row r="24" ht="15" customHeight="1" s="27">
      <c r="A24" s="43" t="inlineStr">
        <is>
          <t>Bakım dönemi minimum stack (devirden sonra)</t>
        </is>
      </c>
    </row>
    <row r="25" ht="15" customHeight="1" s="27">
      <c r="A25" s="49" t="inlineStr">
        <is>
          <t>Ürün</t>
        </is>
      </c>
      <c r="B25" s="49" t="inlineStr">
        <is>
          <t>Sağlayıcı</t>
        </is>
      </c>
      <c r="C25" s="49" t="inlineStr">
        <is>
          <t>Plan</t>
        </is>
      </c>
      <c r="D25" s="49" t="inlineStr">
        <is>
          <t>USD/ay</t>
        </is>
      </c>
      <c r="E25" s="49" t="inlineStr">
        <is>
          <t>TL/ay</t>
        </is>
      </c>
      <c r="F25" s="49" t="inlineStr">
        <is>
          <t>Notlar</t>
        </is>
      </c>
    </row>
    <row r="26" ht="15" customHeight="1" s="27">
      <c r="A26" s="47" t="inlineStr">
        <is>
          <t>Claude Max 5x</t>
        </is>
      </c>
      <c r="B26" s="47" t="inlineStr">
        <is>
          <t>Anthropic</t>
        </is>
      </c>
      <c r="C26" s="47" t="inlineStr">
        <is>
          <t>Max 5x</t>
        </is>
      </c>
      <c r="D26" s="48" t="n">
        <v>100</v>
      </c>
      <c r="E26" s="44">
        <f>D26*Ozet!$B$5</f>
        <v/>
      </c>
      <c r="F26" s="29" t="inlineStr">
        <is>
          <t>Bakım/küçük feature için yeterli</t>
        </is>
      </c>
    </row>
    <row r="27" ht="15" customHeight="1" s="27">
      <c r="A27" s="47" t="inlineStr">
        <is>
          <t>Cursor Pro</t>
        </is>
      </c>
      <c r="B27" s="47" t="inlineStr">
        <is>
          <t>Cursor</t>
        </is>
      </c>
      <c r="C27" s="47" t="inlineStr">
        <is>
          <t>Pro</t>
        </is>
      </c>
      <c r="D27" s="48" t="n">
        <v>20</v>
      </c>
      <c r="E27" s="44">
        <f>D27*Ozet!$B$5</f>
        <v/>
      </c>
      <c r="F27" s="29" t="inlineStr">
        <is>
          <t>Düşürebilirsin ama önerilir</t>
        </is>
      </c>
    </row>
    <row r="28" ht="15" customHeight="1" s="27">
      <c r="A28" s="47" t="inlineStr">
        <is>
          <t>GitHub Pro</t>
        </is>
      </c>
      <c r="B28" s="47" t="inlineStr">
        <is>
          <t>GitHub</t>
        </is>
      </c>
      <c r="C28" s="47" t="inlineStr">
        <is>
          <t>Pro</t>
        </is>
      </c>
      <c r="D28" s="48" t="n">
        <v>0</v>
      </c>
      <c r="E28" s="44">
        <f>D28*Ozet!$B$5</f>
        <v/>
      </c>
      <c r="F28" s="29" t="inlineStr">
        <is>
          <t>GitHub Free — yeterli</t>
        </is>
      </c>
    </row>
    <row r="29" ht="15" customHeight="1" s="27">
      <c r="A29" s="47" t="inlineStr">
        <is>
          <t>Notion</t>
        </is>
      </c>
      <c r="B29" s="47" t="inlineStr">
        <is>
          <t>Notion</t>
        </is>
      </c>
      <c r="C29" s="47" t="inlineStr">
        <is>
          <t>Plus</t>
        </is>
      </c>
      <c r="D29" s="48" t="n">
        <v>0</v>
      </c>
      <c r="E29" s="44">
        <f>D29*Ozet!$B$5</f>
        <v/>
      </c>
      <c r="F29" s="29" t="inlineStr">
        <is>
          <t>Free tier ile devam</t>
        </is>
      </c>
    </row>
    <row r="30" ht="15" customHeight="1" s="27">
      <c r="A30" s="47" t="inlineStr">
        <is>
          <t>Muhasebe</t>
        </is>
      </c>
      <c r="B30" s="47" t="inlineStr">
        <is>
          <t>Mali müşavir</t>
        </is>
      </c>
      <c r="C30" s="47" t="inlineStr">
        <is>
          <t>Aylık</t>
        </is>
      </c>
      <c r="D30" s="48" t="n">
        <v>0</v>
      </c>
      <c r="E30" s="44">
        <f>D30*Ozet!$B$5</f>
        <v/>
      </c>
      <c r="F30" s="29" t="inlineStr">
        <is>
          <t>Gerektiğinde devreye al</t>
        </is>
      </c>
    </row>
    <row r="31" ht="15" customHeight="1" s="27">
      <c r="A31" s="39" t="inlineStr">
        <is>
          <t>BAKIM DÖNEMİ TOPLAM/ay</t>
        </is>
      </c>
      <c r="D31" s="40">
        <f>SUM(D26:D30)</f>
        <v/>
      </c>
      <c r="E31" s="41">
        <f>SUM(E26:E30)</f>
        <v/>
      </c>
    </row>
  </sheetData>
  <mergeCells count="5">
    <mergeCell ref="A1:G1"/>
    <mergeCell ref="A22:D22"/>
    <mergeCell ref="A20:D20"/>
    <mergeCell ref="A24:G24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26" min="1" max="1"/>
    <col width="24" customWidth="1" style="26" min="2" max="2"/>
    <col width="22" customWidth="1" style="26" min="3" max="3"/>
    <col width="18" customWidth="1" style="26" min="4" max="4"/>
    <col width="12" customWidth="1" style="26" min="5" max="5"/>
    <col width="14" customWidth="1" style="26" min="6" max="6"/>
    <col width="50" customWidth="1" style="26" min="7" max="7"/>
  </cols>
  <sheetData>
    <row r="1" ht="24" customHeight="1" s="27">
      <c r="A1" s="28" t="inlineStr">
        <is>
          <t>Sunucu, Barındırma &amp; Altyapı</t>
        </is>
      </c>
    </row>
    <row r="2" ht="15" customHeight="1" s="27">
      <c r="A2" s="29" t="inlineStr">
        <is>
          <t>Geliştirme + erken üretim için. Devirden sonra alıcı kendi hesaplarına geçer.</t>
        </is>
      </c>
    </row>
    <row r="4" ht="15" customHeight="1" s="27">
      <c r="A4" s="34" t="inlineStr">
        <is>
          <t>Kategori</t>
        </is>
      </c>
      <c r="B4" s="34" t="inlineStr">
        <is>
          <t>Servis</t>
        </is>
      </c>
      <c r="C4" s="34" t="inlineStr">
        <is>
          <t>Sağlayıcı</t>
        </is>
      </c>
      <c r="D4" s="34" t="inlineStr">
        <is>
          <t>Plan / Kullanım</t>
        </is>
      </c>
      <c r="E4" s="34" t="inlineStr">
        <is>
          <t>USD/ay</t>
        </is>
      </c>
      <c r="F4" s="34" t="inlineStr">
        <is>
          <t>TL/ay</t>
        </is>
      </c>
      <c r="G4" s="34" t="inlineStr">
        <is>
          <t>Notlar</t>
        </is>
      </c>
    </row>
    <row r="5" ht="15" customHeight="1" s="27">
      <c r="A5" s="47" t="inlineStr">
        <is>
          <t>VPS + App + DB + Cache</t>
        </is>
      </c>
      <c r="B5" s="47" t="inlineStr">
        <is>
          <t>Docker (Next.js + Postgres + Redis + Nginx)</t>
        </is>
      </c>
      <c r="C5" s="47" t="inlineStr">
        <is>
          <t>DigitalOcean</t>
        </is>
      </c>
      <c r="D5" s="47" t="inlineStr">
        <is>
          <t>$24 Droplet (dev) / $48 üretim</t>
        </is>
      </c>
      <c r="E5" s="48" t="n">
        <v>24</v>
      </c>
      <c r="F5" s="44">
        <f>E5*Ozet!$B$5</f>
        <v/>
      </c>
      <c r="G5" s="29" t="inlineStr">
        <is>
          <t>digitalocean.com/pricing — Basic 2vCPU/4GB $24/ay; üretimde 4vCPU/8GB $48/ay; Docker Compose ile app+postgres+redis+nginx</t>
        </is>
      </c>
    </row>
    <row r="6" ht="15" customHeight="1" s="27">
      <c r="A6" s="47" t="inlineStr">
        <is>
          <t>Database</t>
        </is>
      </c>
      <c r="B6" s="47" t="inlineStr">
        <is>
          <t>Postgres (self-hosted, Docker)</t>
        </is>
      </c>
      <c r="C6" s="47" t="inlineStr">
        <is>
          <t>DigitalOcean VPS</t>
        </is>
      </c>
      <c r="D6" s="47" t="inlineStr">
        <is>
          <t>VPS içinde (ayrı ücret yok)</t>
        </is>
      </c>
      <c r="E6" s="59" t="n">
        <v>0</v>
      </c>
      <c r="F6" s="44">
        <f>E6*Ozet!$B$5</f>
        <v/>
      </c>
      <c r="G6" s="29" t="inlineStr">
        <is>
          <t>VPS içindeki Docker container — postgres:16-alpine; veri /volumes/postgres; pg_dump→R2 backup günlük cron</t>
        </is>
      </c>
    </row>
    <row r="7" ht="15" customHeight="1" s="27">
      <c r="A7" s="47" t="inlineStr">
        <is>
          <t>Cache/Queue</t>
        </is>
      </c>
      <c r="B7" s="47" t="inlineStr">
        <is>
          <t>Redis (self-hosted, Docker)</t>
        </is>
      </c>
      <c r="C7" s="47" t="inlineStr">
        <is>
          <t>DigitalOcean VPS</t>
        </is>
      </c>
      <c r="D7" s="47" t="inlineStr">
        <is>
          <t>VPS içinde (ayrı ücret yok)</t>
        </is>
      </c>
      <c r="E7" s="48" t="n">
        <v>0</v>
      </c>
      <c r="F7" s="44">
        <f>E7*Ozet!$B$5</f>
        <v/>
      </c>
      <c r="G7" s="29" t="inlineStr">
        <is>
          <t>VPS içindeki Docker container — redis:7-alpine; rate limiting, session cache, job state</t>
        </is>
      </c>
    </row>
    <row r="8" ht="15" customHeight="1" s="27">
      <c r="A8" s="47" t="inlineStr">
        <is>
          <t>Object storage</t>
        </is>
      </c>
      <c r="B8" s="47" t="inlineStr">
        <is>
          <t>Görsel/dosya</t>
        </is>
      </c>
      <c r="C8" s="47" t="inlineStr">
        <is>
          <t>Cloudflare R2</t>
        </is>
      </c>
      <c r="D8" s="47" t="inlineStr">
        <is>
          <t>PAYG</t>
        </is>
      </c>
      <c r="E8" s="48" t="n">
        <v>8</v>
      </c>
      <c r="F8" s="44">
        <f>E8*Ozet!$B$5</f>
        <v/>
      </c>
      <c r="G8" s="29" t="inlineStr">
        <is>
          <t>developers.cloudflare.com/r2/pricing — Standard $0.015/GB-ay (örnek ~530 GB≈$8)</t>
        </is>
      </c>
    </row>
    <row r="9" ht="15" customHeight="1" s="27">
      <c r="A9" s="47" t="inlineStr">
        <is>
          <t>Video pipeline</t>
        </is>
      </c>
      <c r="B9" s="47" t="inlineStr">
        <is>
          <t>Encoding + delivery</t>
        </is>
      </c>
      <c r="C9" s="47" t="inlineStr">
        <is>
          <t>Bunny Stream</t>
        </is>
      </c>
      <c r="D9" s="47" t="inlineStr">
        <is>
          <t>PAYG</t>
        </is>
      </c>
      <c r="E9" s="48" t="n">
        <v>5</v>
      </c>
      <c r="F9" s="44">
        <f>E9*Ozet!$B$5</f>
        <v/>
      </c>
      <c r="G9" s="29" t="inlineStr">
        <is>
          <t>bunny.net/stream — encoding ÜCRETSİZ; depolama $0.01/GB-ay; delivery $0.005/GB (Avrupa/TR); signed token auth dahil</t>
        </is>
      </c>
    </row>
    <row r="10" ht="15" customHeight="1" s="27">
      <c r="A10" s="47" t="inlineStr">
        <is>
          <t>CDN</t>
        </is>
      </c>
      <c r="B10" s="47" t="inlineStr">
        <is>
          <t>Statik içerik + WAF</t>
        </is>
      </c>
      <c r="C10" s="47" t="inlineStr">
        <is>
          <t>Cloudflare</t>
        </is>
      </c>
      <c r="D10" s="47" t="inlineStr">
        <is>
          <t>Free</t>
        </is>
      </c>
      <c r="E10" s="48" t="n">
        <v>0</v>
      </c>
      <c r="F10" s="44">
        <f>E10*Ozet!$B$5</f>
        <v/>
      </c>
      <c r="G10" s="29" t="inlineStr">
        <is>
          <t>Free tier dev için yeterli — üretimde Pro'ya geç</t>
        </is>
      </c>
    </row>
    <row r="11" ht="15" customHeight="1" s="27">
      <c r="A11" s="47" t="inlineStr">
        <is>
          <t>Email</t>
        </is>
      </c>
      <c r="B11" s="47" t="inlineStr">
        <is>
          <t>Transactional email</t>
        </is>
      </c>
      <c r="C11" s="47" t="inlineStr">
        <is>
          <t>Resend</t>
        </is>
      </c>
      <c r="D11" s="47" t="inlineStr">
        <is>
          <t>Free</t>
        </is>
      </c>
      <c r="E11" s="48" t="n">
        <v>0</v>
      </c>
      <c r="F11" s="44">
        <f>E11*Ozet!$B$5</f>
        <v/>
      </c>
      <c r="G11" s="29" t="inlineStr">
        <is>
          <t>Free: 3.000 email/ay — dev için fazlası</t>
        </is>
      </c>
    </row>
    <row r="12" ht="15" customHeight="1" s="27">
      <c r="A12" s="47" t="inlineStr">
        <is>
          <t>Monitoring</t>
        </is>
      </c>
      <c r="B12" s="47" t="inlineStr">
        <is>
          <t>Error tracking</t>
        </is>
      </c>
      <c r="C12" s="47" t="inlineStr">
        <is>
          <t>Sentry</t>
        </is>
      </c>
      <c r="D12" s="47" t="inlineStr">
        <is>
          <t>Free</t>
        </is>
      </c>
      <c r="E12" s="48" t="n">
        <v>0</v>
      </c>
      <c r="F12" s="44">
        <f>E12*Ozet!$B$5</f>
        <v/>
      </c>
      <c r="G12" s="29" t="inlineStr">
        <is>
          <t>Free tier hata takibi — dev için yeterli</t>
        </is>
      </c>
    </row>
    <row r="13" ht="15" customHeight="1" s="27">
      <c r="A13" s="47" t="inlineStr">
        <is>
          <t>Analytics</t>
        </is>
      </c>
      <c r="B13" s="47" t="inlineStr">
        <is>
          <t>Product analytics</t>
        </is>
      </c>
      <c r="C13" s="47" t="inlineStr">
        <is>
          <t>PostHog</t>
        </is>
      </c>
      <c r="D13" s="47" t="inlineStr">
        <is>
          <t>Free → Growth</t>
        </is>
      </c>
      <c r="E13" s="48" t="n">
        <v>0</v>
      </c>
      <c r="F13" s="44">
        <f>E13*Ozet!$B$5</f>
        <v/>
      </c>
      <c r="G13" s="29" t="inlineStr">
        <is>
          <t>İlk başta free, ölçek geldikçe ücretli</t>
        </is>
      </c>
    </row>
    <row r="14" ht="15" customHeight="1" s="27">
      <c r="A14" s="47" t="inlineStr">
        <is>
          <t>Domain</t>
        </is>
      </c>
      <c r="B14" s="47" t="inlineStr">
        <is>
          <t>Alan adı + DNS</t>
        </is>
      </c>
      <c r="C14" s="47" t="inlineStr">
        <is>
          <t>Cloudflare</t>
        </is>
      </c>
      <c r="D14" s="47" t="inlineStr">
        <is>
          <t>Yıllık (≈$12)</t>
        </is>
      </c>
      <c r="E14" s="48" t="n">
        <v>1</v>
      </c>
      <c r="F14" s="44">
        <f>E14*Ozet!$B$5</f>
        <v/>
      </c>
      <c r="G14" s="29" t="inlineStr">
        <is>
          <t>Ortalama aylık ($12/yıl)</t>
        </is>
      </c>
    </row>
    <row r="15" ht="15" customHeight="1" s="27">
      <c r="A15" s="47" t="inlineStr">
        <is>
          <t>Yedekleme</t>
        </is>
      </c>
      <c r="B15" s="47" t="inlineStr">
        <is>
          <t>Otomatik backup</t>
        </is>
      </c>
      <c r="C15" s="47" t="inlineStr">
        <is>
          <t>Supabase + R2</t>
        </is>
      </c>
      <c r="D15" s="47" t="inlineStr">
        <is>
          <t>Dahil</t>
        </is>
      </c>
      <c r="E15" s="48" t="n">
        <v>0</v>
      </c>
      <c r="F15" s="44">
        <f>E15*Ozet!$B$5</f>
        <v/>
      </c>
      <c r="G15" s="29" t="inlineStr">
        <is>
          <t>DB backup Pro plan dahil</t>
        </is>
      </c>
    </row>
    <row r="16" ht="15" customHeight="1" s="27">
      <c r="A16" s="47" t="inlineStr">
        <is>
          <t>LLM Vector DB</t>
        </is>
      </c>
      <c r="B16" s="47" t="inlineStr">
        <is>
          <t>RAG için</t>
        </is>
      </c>
      <c r="C16" s="47" t="inlineStr">
        <is>
          <t>Pinecone</t>
        </is>
      </c>
      <c r="D16" s="47" t="inlineStr">
        <is>
          <t>pgvector (Supabase)</t>
        </is>
      </c>
      <c r="E16" s="48" t="n">
        <v>0</v>
      </c>
      <c r="F16" s="44">
        <f>E16*Ozet!$B$5</f>
        <v/>
      </c>
      <c r="G16" s="29" t="inlineStr">
        <is>
          <t>Supabase pgvector ile ikame — ayrı ödeme yok</t>
        </is>
      </c>
    </row>
    <row r="17" ht="15" customHeight="1" s="27">
      <c r="A17" s="47" t="inlineStr">
        <is>
          <t>STT/TTS host</t>
        </is>
      </c>
      <c r="B17" s="47" t="inlineStr">
        <is>
          <t>Geliştirme/test</t>
        </is>
      </c>
      <c r="C17" s="47" t="inlineStr">
        <is>
          <t>OpenAI/ElevenLabs</t>
        </is>
      </c>
      <c r="D17" s="47" t="inlineStr">
        <is>
          <t>PAYG</t>
        </is>
      </c>
      <c r="E17" s="48" t="n">
        <v>25</v>
      </c>
      <c r="F17" s="44">
        <f>E17*Ozet!$B$5</f>
        <v/>
      </c>
      <c r="G17" s="29" t="inlineStr">
        <is>
          <t>openai.com/api/pricing — Whisper $0.006/dk; TTS karakter başına (API PAYG tahmini)</t>
        </is>
      </c>
    </row>
    <row r="19" ht="15" customHeight="1" s="27">
      <c r="A19" s="39" t="inlineStr">
        <is>
          <t>TOPLAM (geliştirme + erken üretim)</t>
        </is>
      </c>
      <c r="B19" s="31" t="n"/>
      <c r="C19" s="31" t="n"/>
      <c r="D19" s="31" t="n"/>
      <c r="E19" s="40">
        <f>SUM(E5:E17)</f>
        <v/>
      </c>
      <c r="F19" s="41">
        <f>SUM(F5:F17)</f>
        <v/>
      </c>
    </row>
    <row r="21" ht="15" customHeight="1" s="27">
      <c r="A21" s="50" t="inlineStr">
        <is>
          <t>ÖNEMLİ: Devir sonrası alıcı kendi hesaplarına geçer; bu kalemler senin maliyetinden çıkar.</t>
        </is>
      </c>
    </row>
  </sheetData>
  <mergeCells count="4">
    <mergeCell ref="A2:G2"/>
    <mergeCell ref="A21:G21"/>
    <mergeCell ref="A1:G1"/>
    <mergeCell ref="A19:D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8" customWidth="1" style="26" min="1" max="1"/>
    <col width="22" customWidth="1" style="26" min="2" max="4"/>
    <col width="14" customWidth="1" style="27" min="3" max="3"/>
    <col width="16" customWidth="1" style="27" min="4" max="4"/>
    <col width="14" customWidth="1" style="26" min="5" max="6"/>
    <col width="18" customWidth="1" style="27" min="6" max="6"/>
    <col width="60" customWidth="1" style="27" min="7" max="7"/>
  </cols>
  <sheetData>
    <row r="1" ht="24" customHeight="1" s="27">
      <c r="A1" s="28" t="inlineStr">
        <is>
          <t>AI Üretim Maliyetleri (Per-tour, Per-otel)</t>
        </is>
      </c>
    </row>
    <row r="2" ht="15" customHeight="1" s="27">
      <c r="A2" s="50" t="inlineStr">
        <is>
          <t>Bu maliyetler ÜRETİMDE oluşur. Sözleşmede alıcı kendi hesabından öder — senin maliyetin değildir.</t>
        </is>
      </c>
    </row>
    <row r="4" ht="15" customHeight="1" s="27">
      <c r="A4" s="30" t="inlineStr">
        <is>
          <t>PARAMETRELER</t>
        </is>
      </c>
      <c r="B4" s="31" t="n"/>
      <c r="C4" s="31" t="n"/>
      <c r="D4" s="31" t="n"/>
      <c r="E4" s="31" t="n"/>
      <c r="F4" s="31" t="n"/>
    </row>
    <row r="5" ht="15" customHeight="1" s="27">
      <c r="A5" s="47" t="inlineStr">
        <is>
          <t>Tur başına ortalama konuşma turn sayısı</t>
        </is>
      </c>
      <c r="B5" s="33" t="n">
        <v>12</v>
      </c>
      <c r="C5" s="29" t="inlineStr">
        <is>
          <t>İnsan + AI birer tur konuşma</t>
        </is>
      </c>
    </row>
    <row r="6" ht="15" customHeight="1" s="27">
      <c r="A6" s="47" t="inlineStr">
        <is>
          <t>Turn başına ortalama input token (RAG dahil)</t>
        </is>
      </c>
      <c r="B6" s="33" t="n">
        <v>800</v>
      </c>
      <c r="C6" s="29" t="inlineStr">
        <is>
          <t>Otelin verisi context içinde</t>
        </is>
      </c>
    </row>
    <row r="7" ht="15" customHeight="1" s="27">
      <c r="A7" s="47" t="inlineStr">
        <is>
          <t>Turn başına ortalama output token</t>
        </is>
      </c>
      <c r="B7" s="33" t="n">
        <v>200</v>
      </c>
      <c r="C7" s="29" t="inlineStr">
        <is>
          <t>AI cevabı</t>
        </is>
      </c>
    </row>
    <row r="8" ht="15" customHeight="1" s="27">
      <c r="A8" s="47" t="inlineStr">
        <is>
          <t>Konuşma süresi (dakika)</t>
        </is>
      </c>
      <c r="B8" s="33" t="n">
        <v>5</v>
      </c>
      <c r="C8" s="29" t="inlineStr">
        <is>
          <t>STT ve TTS için</t>
        </is>
      </c>
    </row>
    <row r="9" ht="15" customHeight="1" s="27">
      <c r="A9" s="47" t="inlineStr">
        <is>
          <t>Tur başına Whisper STT (USD/dakika)</t>
        </is>
      </c>
      <c r="B9" s="32" t="n">
        <v>0.006</v>
      </c>
      <c r="C9" s="29" t="inlineStr">
        <is>
          <t>openai.com/api/pricing — Whisper $0.006/dk</t>
        </is>
      </c>
    </row>
    <row r="10" ht="15" customHeight="1" s="27">
      <c r="A10" s="47" t="inlineStr">
        <is>
          <t>Tur başına TTS (USD/dakika)</t>
        </is>
      </c>
      <c r="B10" s="32" t="n">
        <v>0.015</v>
      </c>
      <c r="C10" s="29" t="inlineStr">
        <is>
          <t>gpt-4o-mini-tts ≈ $0.015/dk (tahmini); alternatifler için aşağıdaki TTS tablosu</t>
        </is>
      </c>
    </row>
    <row r="11" ht="15" customHeight="1" s="27">
      <c r="A11" s="47" t="inlineStr">
        <is>
          <t>Sonnet input ($/1M token)</t>
        </is>
      </c>
      <c r="B11" s="33" t="n">
        <v>3</v>
      </c>
      <c r="C11" s="29" t="inlineStr">
        <is>
          <t>Claude Sonnet 4.6</t>
        </is>
      </c>
    </row>
    <row r="12" ht="15" customHeight="1" s="27">
      <c r="A12" s="47" t="inlineStr">
        <is>
          <t>Sonnet output ($/1M token)</t>
        </is>
      </c>
      <c r="B12" s="33" t="n">
        <v>15</v>
      </c>
      <c r="C12" s="29" t="n"/>
    </row>
    <row r="13" ht="15" customHeight="1" s="27">
      <c r="A13" s="47" t="inlineStr">
        <is>
          <t>Haiku input ($/1M token)</t>
        </is>
      </c>
      <c r="B13" s="33" t="n">
        <v>1</v>
      </c>
      <c r="C13" s="29" t="inlineStr">
        <is>
          <t>Claude Haiku 4.5</t>
        </is>
      </c>
    </row>
    <row r="14" ht="15" customHeight="1" s="27">
      <c r="A14" s="47" t="inlineStr">
        <is>
          <t>Haiku output ($/1M token)</t>
        </is>
      </c>
      <c r="B14" s="33" t="n">
        <v>5</v>
      </c>
      <c r="C14" s="29" t="n"/>
    </row>
    <row r="15" ht="15" customHeight="1" s="27">
      <c r="A15" s="47" t="inlineStr">
        <is>
          <t>Otel başı aylık ortalama tur</t>
        </is>
      </c>
      <c r="B15" s="33" t="n">
        <v>300</v>
      </c>
      <c r="C15" s="29" t="inlineStr">
        <is>
          <t>Pilot dönem tahmini</t>
        </is>
      </c>
    </row>
    <row r="18" ht="15" customHeight="1" s="27">
      <c r="A18" s="30" t="inlineStr">
        <is>
          <t>TUR BAŞI MALİYET HESABI</t>
        </is>
      </c>
      <c r="B18" s="31" t="n"/>
      <c r="C18" s="31" t="n"/>
      <c r="D18" s="31" t="n"/>
      <c r="E18" s="31" t="n"/>
      <c r="F18" s="31" t="n"/>
    </row>
    <row r="19" ht="15" customHeight="1" s="27">
      <c r="A19" s="49" t="inlineStr">
        <is>
          <t>Kalem</t>
        </is>
      </c>
      <c r="B19" s="49" t="inlineStr">
        <is>
          <t>Sonnet senaryosu (USD)</t>
        </is>
      </c>
      <c r="C19" s="49" t="inlineStr">
        <is>
          <t>Haiku senaryosu (USD)</t>
        </is>
      </c>
      <c r="D19" s="49" t="inlineStr">
        <is>
          <t>Hibrit (öneri) USD</t>
        </is>
      </c>
    </row>
    <row r="20" ht="15" customHeight="1" s="27">
      <c r="A20" s="26" t="inlineStr">
        <is>
          <t>LLM input (turn × input × $/1M)</t>
        </is>
      </c>
      <c r="B20" s="51">
        <f>B5*B6/1000000*B11</f>
        <v/>
      </c>
      <c r="C20" s="51">
        <f>B5*B6/1000000*B13</f>
        <v/>
      </c>
      <c r="D20" s="51">
        <f>B5*B6/1000000*(B11*0.3+B13*0.7)</f>
        <v/>
      </c>
    </row>
    <row r="21" ht="15" customHeight="1" s="27">
      <c r="A21" s="26" t="inlineStr">
        <is>
          <t>LLM output (turn × output × $/1M)</t>
        </is>
      </c>
      <c r="B21" s="51">
        <f>B5*B7/1000000*B12</f>
        <v/>
      </c>
      <c r="C21" s="51">
        <f>B5*B7/1000000*B14</f>
        <v/>
      </c>
      <c r="D21" s="51">
        <f>B5*B7/1000000*(B12*0.3+B14*0.7)</f>
        <v/>
      </c>
    </row>
    <row r="22" ht="15" customHeight="1" s="27">
      <c r="A22" s="26" t="inlineStr">
        <is>
          <t>Whisper STT (dakika × $/dk)</t>
        </is>
      </c>
      <c r="B22" s="51">
        <f>B8*B9</f>
        <v/>
      </c>
      <c r="C22" s="51">
        <f>B8*B9</f>
        <v/>
      </c>
      <c r="D22" s="51">
        <f>B8*B9</f>
        <v/>
      </c>
    </row>
    <row r="23" ht="15" customHeight="1" s="27">
      <c r="A23" s="26" t="inlineStr">
        <is>
          <t>TTS (dakika × $/dk)</t>
        </is>
      </c>
      <c r="B23" s="51">
        <f>B8*B10</f>
        <v/>
      </c>
      <c r="C23" s="51">
        <f>B8*B10</f>
        <v/>
      </c>
      <c r="D23" s="51">
        <f>B8*B10</f>
        <v/>
      </c>
    </row>
    <row r="24" ht="15" customHeight="1" s="27">
      <c r="A24" s="39" t="inlineStr">
        <is>
          <t>TOPLAM tur başı</t>
        </is>
      </c>
      <c r="B24" s="40">
        <f>SUM(B20:B23)</f>
        <v/>
      </c>
      <c r="C24" s="40">
        <f>SUM(C20:C23)</f>
        <v/>
      </c>
      <c r="D24" s="40">
        <f>SUM(D20:D23)</f>
        <v/>
      </c>
    </row>
    <row r="26" ht="15" customHeight="1" s="27">
      <c r="A26" s="30" t="inlineStr">
        <is>
          <t>OTEL BAŞI AYLIK AI MALİYETİ</t>
        </is>
      </c>
      <c r="B26" s="31" t="n"/>
      <c r="C26" s="31" t="n"/>
      <c r="D26" s="31" t="n"/>
      <c r="E26" s="31" t="n"/>
      <c r="F26" s="31" t="n"/>
    </row>
    <row r="27" ht="15" customHeight="1" s="27">
      <c r="A27" s="26" t="inlineStr">
        <is>
          <t>USD/ay (otel başı)</t>
        </is>
      </c>
      <c r="B27" s="51">
        <f>B24*B15</f>
        <v/>
      </c>
      <c r="C27" s="51">
        <f>C24*B15</f>
        <v/>
      </c>
      <c r="D27" s="51">
        <f>D24*B15</f>
        <v/>
      </c>
    </row>
    <row r="28" ht="15" customHeight="1" s="27">
      <c r="A28" s="26" t="inlineStr">
        <is>
          <t>TL/ay (otel başı)</t>
        </is>
      </c>
      <c r="B28" s="38">
        <f>B27*Ozet!$B$5</f>
        <v/>
      </c>
      <c r="C28" s="38">
        <f>C27*Ozet!$B$5</f>
        <v/>
      </c>
      <c r="D28" s="38">
        <f>D27*Ozet!$B$5</f>
        <v/>
      </c>
    </row>
    <row r="30" ht="15" customHeight="1" s="27">
      <c r="A30" s="30" t="inlineStr">
        <is>
          <t>PLATFORM TOPLAMI (Özet'teki otel sayısı için)</t>
        </is>
      </c>
      <c r="B30" s="31" t="n"/>
      <c r="C30" s="31" t="n"/>
      <c r="D30" s="31" t="n"/>
      <c r="E30" s="31" t="n"/>
      <c r="F30" s="31" t="n"/>
    </row>
    <row r="31" ht="15" customHeight="1" s="27">
      <c r="A31" s="26" t="inlineStr">
        <is>
          <t>USD/ay platform toplam (hibrit)</t>
        </is>
      </c>
      <c r="B31" s="37">
        <f>D27*Ozet!B8</f>
        <v/>
      </c>
      <c r="C31" s="29" t="inlineStr">
        <is>
          <t>← Otel sayısı: Ozet!B8'den</t>
        </is>
      </c>
    </row>
    <row r="32" ht="15" customHeight="1" s="27">
      <c r="A32" s="26" t="inlineStr">
        <is>
          <t>TL/ay platform toplam (hibrit)</t>
        </is>
      </c>
      <c r="B32" s="38">
        <f>B31*Ozet!$B$5</f>
        <v/>
      </c>
      <c r="C32" s="50" t="inlineStr">
        <is>
          <t>← Bu fatura sözleşmede ALICIYA aittir</t>
        </is>
      </c>
    </row>
    <row r="35">
      <c r="A35" s="43" t="inlineStr">
        <is>
          <t>TTS MODEL KARŞILAŞTIRMASI (fiyat kontrolü: Ekim 2026)</t>
        </is>
      </c>
    </row>
    <row r="36">
      <c r="A36" s="47" t="inlineStr">
        <is>
          <t>Dakika başına karakter (tahmin)</t>
        </is>
      </c>
      <c r="B36" s="33" t="n">
        <v>1000</v>
      </c>
      <c r="C36" s="29" t="inlineStr">
        <is>
          <t>Türkçe konuşma ≈ 900–1.000 karakter/dk</t>
        </is>
      </c>
    </row>
    <row r="37">
      <c r="A37" s="47" t="inlineStr">
        <is>
          <t>Sesi açan misafir oranı</t>
        </is>
      </c>
      <c r="B37" s="60" t="n">
        <v>1</v>
      </c>
      <c r="C37" s="29" t="inlineStr">
        <is>
          <t>1 = tavan senaryo; gerçekçi tahmin için 0,3 dene</t>
        </is>
      </c>
    </row>
    <row r="38"/>
    <row r="39">
      <c r="A39" s="49" t="inlineStr">
        <is>
          <t>Model</t>
        </is>
      </c>
      <c r="B39" s="49" t="inlineStr">
        <is>
          <t>USD / 1M karakter</t>
        </is>
      </c>
      <c r="C39" s="49" t="inlineStr">
        <is>
          <t>USD / dakika</t>
        </is>
      </c>
      <c r="D39" s="49" t="inlineStr">
        <is>
          <t>Tur başı (USD)</t>
        </is>
      </c>
      <c r="E39" s="49" t="inlineStr">
        <is>
          <t>Otel başı / ay (USD)</t>
        </is>
      </c>
      <c r="F39" s="49" t="inlineStr">
        <is>
          <t>Platform / ay (USD)</t>
        </is>
      </c>
      <c r="G39" s="49" t="inlineStr">
        <is>
          <t>Not / kaynak</t>
        </is>
      </c>
    </row>
    <row r="40">
      <c r="A40" s="47" t="inlineStr">
        <is>
          <t>OpenAI gpt-4o-mini-tts (sohbet — öneri)</t>
        </is>
      </c>
      <c r="C40" s="61" t="n">
        <v>0.015</v>
      </c>
      <c r="D40" s="62">
        <f>C40*$B$8*$B$37</f>
        <v/>
      </c>
      <c r="E40" s="51">
        <f>D40*$B$15</f>
        <v/>
      </c>
      <c r="F40" s="51">
        <f>E40*Ozet!$B$8</f>
        <v/>
      </c>
      <c r="G40" s="29" t="inlineStr">
        <is>
          <t>Token bazlı; ~$0.015/dk üçüncü taraf kaynak — resmi sayfadan teyit et</t>
        </is>
      </c>
    </row>
    <row r="41">
      <c r="A41" s="47" t="inlineStr">
        <is>
          <t>Azure Neural TTS</t>
        </is>
      </c>
      <c r="B41" s="63" t="n">
        <v>15</v>
      </c>
      <c r="C41" s="62">
        <f>B41*$B$36/1000000</f>
        <v/>
      </c>
      <c r="D41" s="62">
        <f>C41*$B$8*$B$37</f>
        <v/>
      </c>
      <c r="E41" s="51">
        <f>D41*$B$15</f>
        <v/>
      </c>
      <c r="F41" s="51">
        <f>E41*Ozet!$B$8</f>
        <v/>
      </c>
      <c r="G41" s="29" t="inlineStr">
        <is>
          <t>tr-TR sesleri var; üçüncü taraf kaynak — teyit et</t>
        </is>
      </c>
    </row>
    <row r="42">
      <c r="A42" s="47" t="inlineStr">
        <is>
          <t>Google Chirp 3 HD</t>
        </is>
      </c>
      <c r="B42" s="63" t="n">
        <v>30</v>
      </c>
      <c r="C42" s="62">
        <f>B42*$B$36/1000000</f>
        <v/>
      </c>
      <c r="D42" s="62">
        <f>C42*$B$8*$B$37</f>
        <v/>
      </c>
      <c r="E42" s="51">
        <f>D42*$B$15</f>
        <v/>
      </c>
      <c r="F42" s="51">
        <f>E42*Ozet!$B$8</f>
        <v/>
      </c>
      <c r="G42" s="29" t="inlineStr">
        <is>
          <t>cloud.google.com/text-to-speech/pricing — ilk 1M karakter/ay ücretsiz</t>
        </is>
      </c>
    </row>
    <row r="43">
      <c r="A43" s="47" t="inlineStr">
        <is>
          <t>ElevenLabs Flash/Turbo</t>
        </is>
      </c>
      <c r="B43" s="63" t="n">
        <v>40</v>
      </c>
      <c r="C43" s="62">
        <f>B43*$B$36/1000000</f>
        <v/>
      </c>
      <c r="D43" s="62">
        <f>C43*$B$8*$B$37</f>
        <v/>
      </c>
      <c r="E43" s="51">
        <f>D43*$B$15</f>
        <v/>
      </c>
      <c r="F43" s="51">
        <f>E43*Ozet!$B$8</f>
        <v/>
      </c>
      <c r="G43" s="29" t="inlineStr">
        <is>
          <t>elevenlabs.io/pricing/api — $0.04/1K; abonelik paketi düşürür</t>
        </is>
      </c>
    </row>
    <row r="44">
      <c r="A44" s="47" t="inlineStr">
        <is>
          <t>ElevenLabs v3 / Multilingual v2 (anlatım — öneri)</t>
        </is>
      </c>
      <c r="B44" s="63" t="n">
        <v>80</v>
      </c>
      <c r="C44" s="62">
        <f>B44*$B$36/1000000</f>
        <v/>
      </c>
      <c r="D44" s="62">
        <f>C44*$B$8*$B$37</f>
        <v/>
      </c>
      <c r="E44" s="51">
        <f>D44*$B$15</f>
        <v/>
      </c>
      <c r="F44" s="51">
        <f>E44*Ozet!$B$8</f>
        <v/>
      </c>
      <c r="G44" s="29" t="inlineStr">
        <is>
          <t>elevenlabs.io/pricing/api — $0.08/1K; sabit anlatım için</t>
        </is>
      </c>
    </row>
    <row r="45"/>
    <row r="46">
      <c r="A46" s="43" t="inlineStr">
        <is>
          <t>ADIM ANLATIMI ÖN ÜRETİM (tek seferlik, otel başı)</t>
        </is>
      </c>
    </row>
    <row r="47">
      <c r="A47" s="47" t="inlineStr">
        <is>
          <t>Otel başı anlatım karakteri (tüm adımlar × diller)</t>
        </is>
      </c>
      <c r="B47" s="33" t="n">
        <v>10000</v>
      </c>
      <c r="C47" s="29" t="inlineStr">
        <is>
          <t>Tahmin: ~10 adım × 500 karakter × 2 dil; bir kez üretilip R2'de saklanır</t>
        </is>
      </c>
    </row>
    <row r="48">
      <c r="A48" s="64" t="inlineStr">
        <is>
          <t>Tek seferlik maliyet (ElevenLabs v3, USD)</t>
        </is>
      </c>
      <c r="B48" s="65">
        <f>B47/1000000*B44</f>
        <v/>
      </c>
    </row>
    <row r="49"/>
    <row r="50">
      <c r="A50" s="43" t="inlineStr">
        <is>
          <t>KENDİ GPU ALTERNATİFİ (API yerine)</t>
        </is>
      </c>
    </row>
    <row r="51">
      <c r="A51" s="47" t="inlineStr">
        <is>
          <t>Hetzner GEX44 (RTX 4000 Ada) — EUR/ay, GPU başı</t>
        </is>
      </c>
      <c r="B51" s="66" t="n">
        <v>184</v>
      </c>
      <c r="C51" s="29" t="inlineStr">
        <is>
          <t>+ €79 kurulum. Model: Chatterbox Multilingual (MIT, Türkçe var)</t>
        </is>
      </c>
    </row>
    <row r="52">
      <c r="A52" s="47" t="inlineStr">
        <is>
          <t>RunPod RTX 4090 — USD/saat</t>
        </is>
      </c>
      <c r="B52" s="67" t="n">
        <v>0.6</v>
      </c>
      <c r="C52" s="29" t="inlineStr">
        <is>
          <t>Sürekli açık ≈ $440/ay; fiyat üçüncü taraf kaynak</t>
        </is>
      </c>
    </row>
    <row r="53">
      <c r="A53" s="47" t="inlineStr">
        <is>
          <t>Not</t>
        </is>
      </c>
      <c r="C53" s="29" t="inlineStr">
        <is>
          <t>GPU sayısı ve Türkçe kalite ölçülmedi; ~40.000 dk/ay altında API daha ucuz (tahmin)</t>
        </is>
      </c>
    </row>
    <row r="54"/>
    <row r="55"/>
  </sheetData>
  <mergeCells count="19">
    <mergeCell ref="C8:F8"/>
    <mergeCell ref="C7:F7"/>
    <mergeCell ref="A18:F18"/>
    <mergeCell ref="C32:F32"/>
    <mergeCell ref="A26:F26"/>
    <mergeCell ref="C13:F13"/>
    <mergeCell ref="A2:F2"/>
    <mergeCell ref="C6:F6"/>
    <mergeCell ref="C15:F15"/>
    <mergeCell ref="A4:F4"/>
    <mergeCell ref="C5:F5"/>
    <mergeCell ref="C14:F14"/>
    <mergeCell ref="C10:F10"/>
    <mergeCell ref="A30:F30"/>
    <mergeCell ref="C9:F9"/>
    <mergeCell ref="C31:F31"/>
    <mergeCell ref="A1:F1"/>
    <mergeCell ref="C12:F12"/>
    <mergeCell ref="C11:F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26" min="1" max="1"/>
    <col width="18" customWidth="1" style="26" min="2" max="2"/>
    <col width="16" customWidth="1" style="26" min="3" max="9"/>
  </cols>
  <sheetData>
    <row r="1" ht="24" customHeight="1" s="27">
      <c r="A1" s="28" t="inlineStr">
        <is>
          <t>24 Ay Net Kâr / Zarar Senaryosu (Hedef anlaşma — B)</t>
        </is>
      </c>
    </row>
    <row r="2" ht="15" customHeight="1" s="27">
      <c r="A2" s="29" t="inlineStr">
        <is>
          <t>Geliştirme dönemi (1-6 ay) → Devir (7. ay) → Bakım dönemi (7-30 ay)</t>
        </is>
      </c>
    </row>
    <row r="4" ht="15" customHeight="1" s="27">
      <c r="A4" s="34" t="inlineStr">
        <is>
          <t>Ay</t>
        </is>
      </c>
      <c r="B4" s="34" t="inlineStr">
        <is>
          <t>Faz</t>
        </is>
      </c>
      <c r="C4" s="34" t="inlineStr">
        <is>
          <t>Devir geliri</t>
        </is>
      </c>
      <c r="D4" s="34" t="inlineStr">
        <is>
          <t>Bakım geliri</t>
        </is>
      </c>
      <c r="E4" s="34" t="inlineStr">
        <is>
          <t>Tooling masrafı</t>
        </is>
      </c>
      <c r="F4" s="34" t="inlineStr">
        <is>
          <t>Hosting masrafı</t>
        </is>
      </c>
      <c r="G4" s="34" t="inlineStr">
        <is>
          <t>Yaşam gideri</t>
        </is>
      </c>
      <c r="H4" s="34" t="inlineStr">
        <is>
          <t>Net (TL)</t>
        </is>
      </c>
      <c r="I4" s="34" t="inlineStr">
        <is>
          <t>Kümülatif (TL)</t>
        </is>
      </c>
    </row>
    <row r="5" ht="15" customHeight="1" s="27">
      <c r="A5" s="47" t="n">
        <v>1</v>
      </c>
      <c r="B5" s="47" t="inlineStr">
        <is>
          <t>Geliştirme</t>
        </is>
      </c>
      <c r="C5" s="38">
        <f>Ozet!B27*0.3</f>
        <v/>
      </c>
      <c r="D5" s="38" t="n">
        <v>0</v>
      </c>
      <c r="E5" s="38">
        <f>-Geliştirme_Araclari!F20</f>
        <v/>
      </c>
      <c r="F5" s="38">
        <f>-Sunucu_Barindirma!F19</f>
        <v/>
      </c>
      <c r="G5" s="38">
        <f>-Ozet!B20</f>
        <v/>
      </c>
      <c r="H5" s="44">
        <f>SUM(C5:G5)</f>
        <v/>
      </c>
      <c r="I5" s="44">
        <f>H5</f>
        <v/>
      </c>
    </row>
    <row r="6" ht="15" customHeight="1" s="27">
      <c r="A6" s="47" t="n">
        <v>2</v>
      </c>
      <c r="B6" s="47" t="inlineStr">
        <is>
          <t>Geliştirme</t>
        </is>
      </c>
      <c r="C6" s="38" t="n">
        <v>0</v>
      </c>
      <c r="D6" s="38" t="n">
        <v>0</v>
      </c>
      <c r="E6" s="38">
        <f>-Geliştirme_Araclari!F20</f>
        <v/>
      </c>
      <c r="F6" s="38">
        <f>-Sunucu_Barindirma!F19</f>
        <v/>
      </c>
      <c r="G6" s="38">
        <f>-Ozet!B20</f>
        <v/>
      </c>
      <c r="H6" s="44">
        <f>SUM(C6:G6)</f>
        <v/>
      </c>
      <c r="I6" s="44">
        <f>I5+H6</f>
        <v/>
      </c>
    </row>
    <row r="7" ht="15" customHeight="1" s="27">
      <c r="A7" s="47" t="n">
        <v>3</v>
      </c>
      <c r="B7" s="47" t="inlineStr">
        <is>
          <t>Geliştirme</t>
        </is>
      </c>
      <c r="C7" s="38" t="n">
        <v>0</v>
      </c>
      <c r="D7" s="38" t="n">
        <v>0</v>
      </c>
      <c r="E7" s="38">
        <f>-Geliştirme_Araclari!F20</f>
        <v/>
      </c>
      <c r="F7" s="38">
        <f>-Sunucu_Barindirma!F19</f>
        <v/>
      </c>
      <c r="G7" s="38">
        <f>-Ozet!B20</f>
        <v/>
      </c>
      <c r="H7" s="44">
        <f>SUM(C7:G7)</f>
        <v/>
      </c>
      <c r="I7" s="44">
        <f>I6+H7</f>
        <v/>
      </c>
    </row>
    <row r="8" ht="15" customHeight="1" s="27">
      <c r="A8" s="47" t="n">
        <v>4</v>
      </c>
      <c r="B8" s="47" t="inlineStr">
        <is>
          <t>Geliştirme</t>
        </is>
      </c>
      <c r="C8" s="38" t="n">
        <v>0</v>
      </c>
      <c r="D8" s="38" t="n">
        <v>0</v>
      </c>
      <c r="E8" s="38">
        <f>-Geliştirme_Araclari!F20</f>
        <v/>
      </c>
      <c r="F8" s="38">
        <f>-Sunucu_Barindirma!F19</f>
        <v/>
      </c>
      <c r="G8" s="38">
        <f>-Ozet!B20</f>
        <v/>
      </c>
      <c r="H8" s="44">
        <f>SUM(C8:G8)</f>
        <v/>
      </c>
      <c r="I8" s="44">
        <f>I7+H8</f>
        <v/>
      </c>
    </row>
    <row r="9" ht="15" customHeight="1" s="27">
      <c r="A9" s="47" t="n">
        <v>5</v>
      </c>
      <c r="B9" s="47" t="inlineStr">
        <is>
          <t>Geliştirme</t>
        </is>
      </c>
      <c r="C9" s="38" t="n">
        <v>0</v>
      </c>
      <c r="D9" s="38" t="n">
        <v>0</v>
      </c>
      <c r="E9" s="38">
        <f>-Geliştirme_Araclari!F20</f>
        <v/>
      </c>
      <c r="F9" s="38">
        <f>-Sunucu_Barindirma!F19</f>
        <v/>
      </c>
      <c r="G9" s="38">
        <f>-Ozet!B20</f>
        <v/>
      </c>
      <c r="H9" s="44">
        <f>SUM(C9:G9)</f>
        <v/>
      </c>
      <c r="I9" s="44">
        <f>I8+H9</f>
        <v/>
      </c>
    </row>
    <row r="10" ht="15" customHeight="1" s="27">
      <c r="A10" s="47" t="n">
        <v>6</v>
      </c>
      <c r="B10" s="47" t="inlineStr">
        <is>
          <t>Geliştirme</t>
        </is>
      </c>
      <c r="C10" s="38" t="n">
        <v>0</v>
      </c>
      <c r="D10" s="38" t="n">
        <v>0</v>
      </c>
      <c r="E10" s="38">
        <f>-Geliştirme_Araclari!F20</f>
        <v/>
      </c>
      <c r="F10" s="38">
        <f>-Sunucu_Barindirma!F19</f>
        <v/>
      </c>
      <c r="G10" s="38">
        <f>-Ozet!B20</f>
        <v/>
      </c>
      <c r="H10" s="44">
        <f>SUM(C10:G10)</f>
        <v/>
      </c>
      <c r="I10" s="44">
        <f>I9+H10</f>
        <v/>
      </c>
    </row>
    <row r="11" ht="15" customHeight="1" s="27">
      <c r="A11" s="47" t="n">
        <v>7</v>
      </c>
      <c r="B11" s="47" t="inlineStr">
        <is>
          <t>Devir / Handover</t>
        </is>
      </c>
      <c r="C11" s="38">
        <f>Ozet!B27*0.5</f>
        <v/>
      </c>
      <c r="D11" s="38">
        <f>Ozet!C27</f>
        <v/>
      </c>
      <c r="E11" s="38">
        <f>-Geliştirme_Araclari!E31</f>
        <v/>
      </c>
      <c r="F11" s="38">
        <f>-Sunucu_Barindirma!F19</f>
        <v/>
      </c>
      <c r="G11" s="38" t="n">
        <v>0</v>
      </c>
      <c r="H11" s="44">
        <f>SUM(C11:G11)</f>
        <v/>
      </c>
      <c r="I11" s="44">
        <f>I10+H11</f>
        <v/>
      </c>
    </row>
    <row r="12" ht="15" customHeight="1" s="27">
      <c r="A12" s="47" t="n">
        <v>8</v>
      </c>
      <c r="B12" s="47" t="inlineStr">
        <is>
          <t>Bakım</t>
        </is>
      </c>
      <c r="C12" s="38">
        <f>Ozet!B27*0.2</f>
        <v/>
      </c>
      <c r="D12" s="38">
        <f>Ozet!C27</f>
        <v/>
      </c>
      <c r="E12" s="38">
        <f>-Geliştirme_Araclari!E31</f>
        <v/>
      </c>
      <c r="F12" s="38" t="n">
        <v>0</v>
      </c>
      <c r="G12" s="38" t="n">
        <v>0</v>
      </c>
      <c r="H12" s="44">
        <f>SUM(C12:G12)</f>
        <v/>
      </c>
      <c r="I12" s="44">
        <f>I11+H12</f>
        <v/>
      </c>
    </row>
    <row r="13" ht="15" customHeight="1" s="27">
      <c r="A13" s="47" t="n">
        <v>9</v>
      </c>
      <c r="B13" s="47" t="inlineStr">
        <is>
          <t>Bakım</t>
        </is>
      </c>
      <c r="C13" s="38" t="n">
        <v>0</v>
      </c>
      <c r="D13" s="38">
        <f>Ozet!C27</f>
        <v/>
      </c>
      <c r="E13" s="38">
        <f>-Geliştirme_Araclari!E31</f>
        <v/>
      </c>
      <c r="F13" s="38" t="n">
        <v>0</v>
      </c>
      <c r="G13" s="38" t="n">
        <v>0</v>
      </c>
      <c r="H13" s="44">
        <f>SUM(C13:G13)</f>
        <v/>
      </c>
      <c r="I13" s="44">
        <f>I12+H13</f>
        <v/>
      </c>
    </row>
    <row r="14" ht="15" customHeight="1" s="27">
      <c r="A14" s="47" t="n">
        <v>10</v>
      </c>
      <c r="B14" s="47" t="inlineStr">
        <is>
          <t>Bakım</t>
        </is>
      </c>
      <c r="C14" s="38" t="n">
        <v>0</v>
      </c>
      <c r="D14" s="38">
        <f>Ozet!C27</f>
        <v/>
      </c>
      <c r="E14" s="38">
        <f>-Geliştirme_Araclari!E31</f>
        <v/>
      </c>
      <c r="F14" s="38" t="n">
        <v>0</v>
      </c>
      <c r="G14" s="38" t="n">
        <v>0</v>
      </c>
      <c r="H14" s="44">
        <f>SUM(C14:G14)</f>
        <v/>
      </c>
      <c r="I14" s="44">
        <f>I13+H14</f>
        <v/>
      </c>
    </row>
    <row r="15" ht="15" customHeight="1" s="27">
      <c r="A15" s="47" t="n">
        <v>11</v>
      </c>
      <c r="B15" s="47" t="inlineStr">
        <is>
          <t>Bakım</t>
        </is>
      </c>
      <c r="C15" s="38" t="n">
        <v>0</v>
      </c>
      <c r="D15" s="38">
        <f>Ozet!C27</f>
        <v/>
      </c>
      <c r="E15" s="38">
        <f>-Geliştirme_Araclari!E31</f>
        <v/>
      </c>
      <c r="F15" s="38" t="n">
        <v>0</v>
      </c>
      <c r="G15" s="38" t="n">
        <v>0</v>
      </c>
      <c r="H15" s="44">
        <f>SUM(C15:G15)</f>
        <v/>
      </c>
      <c r="I15" s="44">
        <f>I14+H15</f>
        <v/>
      </c>
    </row>
    <row r="16" ht="15" customHeight="1" s="27">
      <c r="A16" s="47" t="n">
        <v>12</v>
      </c>
      <c r="B16" s="47" t="inlineStr">
        <is>
          <t>Bakım</t>
        </is>
      </c>
      <c r="C16" s="38" t="n">
        <v>0</v>
      </c>
      <c r="D16" s="38">
        <f>Ozet!C27</f>
        <v/>
      </c>
      <c r="E16" s="38">
        <f>-Geliştirme_Araclari!E31</f>
        <v/>
      </c>
      <c r="F16" s="38" t="n">
        <v>0</v>
      </c>
      <c r="G16" s="38" t="n">
        <v>0</v>
      </c>
      <c r="H16" s="44">
        <f>SUM(C16:G16)</f>
        <v/>
      </c>
      <c r="I16" s="44">
        <f>I15+H16</f>
        <v/>
      </c>
    </row>
    <row r="17" ht="15" customHeight="1" s="27">
      <c r="A17" s="47" t="n">
        <v>13</v>
      </c>
      <c r="B17" s="47" t="inlineStr">
        <is>
          <t>Bakım</t>
        </is>
      </c>
      <c r="C17" s="38" t="n">
        <v>0</v>
      </c>
      <c r="D17" s="38">
        <f>Ozet!C27</f>
        <v/>
      </c>
      <c r="E17" s="38">
        <f>-Geliştirme_Araclari!E31</f>
        <v/>
      </c>
      <c r="F17" s="38" t="n">
        <v>0</v>
      </c>
      <c r="G17" s="38" t="n">
        <v>0</v>
      </c>
      <c r="H17" s="44">
        <f>SUM(C17:G17)</f>
        <v/>
      </c>
      <c r="I17" s="44">
        <f>I16+H17</f>
        <v/>
      </c>
    </row>
    <row r="18" ht="15" customHeight="1" s="27">
      <c r="A18" s="47" t="n">
        <v>14</v>
      </c>
      <c r="B18" s="47" t="inlineStr">
        <is>
          <t>Bakım</t>
        </is>
      </c>
      <c r="C18" s="38" t="n">
        <v>0</v>
      </c>
      <c r="D18" s="38">
        <f>Ozet!C27</f>
        <v/>
      </c>
      <c r="E18" s="38">
        <f>-Geliştirme_Araclari!E31</f>
        <v/>
      </c>
      <c r="F18" s="38" t="n">
        <v>0</v>
      </c>
      <c r="G18" s="38" t="n">
        <v>0</v>
      </c>
      <c r="H18" s="44">
        <f>SUM(C18:G18)</f>
        <v/>
      </c>
      <c r="I18" s="44">
        <f>I17+H18</f>
        <v/>
      </c>
    </row>
    <row r="19" ht="15" customHeight="1" s="27">
      <c r="A19" s="47" t="n">
        <v>15</v>
      </c>
      <c r="B19" s="47" t="inlineStr">
        <is>
          <t>Bakım</t>
        </is>
      </c>
      <c r="C19" s="38" t="n">
        <v>0</v>
      </c>
      <c r="D19" s="38">
        <f>Ozet!C27</f>
        <v/>
      </c>
      <c r="E19" s="38">
        <f>-Geliştirme_Araclari!E31</f>
        <v/>
      </c>
      <c r="F19" s="38" t="n">
        <v>0</v>
      </c>
      <c r="G19" s="38" t="n">
        <v>0</v>
      </c>
      <c r="H19" s="44">
        <f>SUM(C19:G19)</f>
        <v/>
      </c>
      <c r="I19" s="44">
        <f>I18+H19</f>
        <v/>
      </c>
    </row>
    <row r="20" ht="15" customHeight="1" s="27">
      <c r="A20" s="47" t="n">
        <v>16</v>
      </c>
      <c r="B20" s="47" t="inlineStr">
        <is>
          <t>Bakım</t>
        </is>
      </c>
      <c r="C20" s="38" t="n">
        <v>0</v>
      </c>
      <c r="D20" s="38">
        <f>Ozet!C27</f>
        <v/>
      </c>
      <c r="E20" s="38">
        <f>-Geliştirme_Araclari!E31</f>
        <v/>
      </c>
      <c r="F20" s="38" t="n">
        <v>0</v>
      </c>
      <c r="G20" s="38" t="n">
        <v>0</v>
      </c>
      <c r="H20" s="44">
        <f>SUM(C20:G20)</f>
        <v/>
      </c>
      <c r="I20" s="44">
        <f>I19+H20</f>
        <v/>
      </c>
    </row>
    <row r="21" ht="15" customHeight="1" s="27">
      <c r="A21" s="47" t="n">
        <v>17</v>
      </c>
      <c r="B21" s="47" t="inlineStr">
        <is>
          <t>Bakım</t>
        </is>
      </c>
      <c r="C21" s="38" t="n">
        <v>0</v>
      </c>
      <c r="D21" s="38">
        <f>Ozet!C27</f>
        <v/>
      </c>
      <c r="E21" s="38">
        <f>-Geliştirme_Araclari!E31</f>
        <v/>
      </c>
      <c r="F21" s="38" t="n">
        <v>0</v>
      </c>
      <c r="G21" s="38" t="n">
        <v>0</v>
      </c>
      <c r="H21" s="44">
        <f>SUM(C21:G21)</f>
        <v/>
      </c>
      <c r="I21" s="44">
        <f>I20+H21</f>
        <v/>
      </c>
    </row>
    <row r="22" ht="15" customHeight="1" s="27">
      <c r="A22" s="47" t="n">
        <v>18</v>
      </c>
      <c r="B22" s="47" t="inlineStr">
        <is>
          <t>Bakım</t>
        </is>
      </c>
      <c r="C22" s="38" t="n">
        <v>0</v>
      </c>
      <c r="D22" s="38">
        <f>Ozet!C27</f>
        <v/>
      </c>
      <c r="E22" s="38">
        <f>-Geliştirme_Araclari!E31</f>
        <v/>
      </c>
      <c r="F22" s="38" t="n">
        <v>0</v>
      </c>
      <c r="G22" s="38" t="n">
        <v>0</v>
      </c>
      <c r="H22" s="44">
        <f>SUM(C22:G22)</f>
        <v/>
      </c>
      <c r="I22" s="44">
        <f>I21+H22</f>
        <v/>
      </c>
    </row>
    <row r="23" ht="15" customHeight="1" s="27">
      <c r="A23" s="47" t="n">
        <v>19</v>
      </c>
      <c r="B23" s="47" t="inlineStr">
        <is>
          <t>Bakım</t>
        </is>
      </c>
      <c r="C23" s="38" t="n">
        <v>0</v>
      </c>
      <c r="D23" s="38">
        <f>Ozet!C27*1.2</f>
        <v/>
      </c>
      <c r="E23" s="38">
        <f>-Geliştirme_Araclari!E31</f>
        <v/>
      </c>
      <c r="F23" s="38" t="n">
        <v>0</v>
      </c>
      <c r="G23" s="38" t="n">
        <v>0</v>
      </c>
      <c r="H23" s="44">
        <f>SUM(C23:G23)</f>
        <v/>
      </c>
      <c r="I23" s="44">
        <f>I22+H23</f>
        <v/>
      </c>
    </row>
    <row r="24" ht="15" customHeight="1" s="27">
      <c r="A24" s="47" t="n">
        <v>20</v>
      </c>
      <c r="B24" s="47" t="inlineStr">
        <is>
          <t>Bakım</t>
        </is>
      </c>
      <c r="C24" s="38" t="n">
        <v>0</v>
      </c>
      <c r="D24" s="38">
        <f>Ozet!C27*1.2</f>
        <v/>
      </c>
      <c r="E24" s="38">
        <f>-Geliştirme_Araclari!E31</f>
        <v/>
      </c>
      <c r="F24" s="38" t="n">
        <v>0</v>
      </c>
      <c r="G24" s="38" t="n">
        <v>0</v>
      </c>
      <c r="H24" s="44">
        <f>SUM(C24:G24)</f>
        <v/>
      </c>
      <c r="I24" s="44">
        <f>I23+H24</f>
        <v/>
      </c>
    </row>
    <row r="25" ht="15" customHeight="1" s="27">
      <c r="A25" s="47" t="n">
        <v>21</v>
      </c>
      <c r="B25" s="47" t="inlineStr">
        <is>
          <t>Bakım</t>
        </is>
      </c>
      <c r="C25" s="38" t="n">
        <v>0</v>
      </c>
      <c r="D25" s="38">
        <f>Ozet!C27*1.2</f>
        <v/>
      </c>
      <c r="E25" s="38">
        <f>-Geliştirme_Araclari!E31</f>
        <v/>
      </c>
      <c r="F25" s="38" t="n">
        <v>0</v>
      </c>
      <c r="G25" s="38" t="n">
        <v>0</v>
      </c>
      <c r="H25" s="44">
        <f>SUM(C25:G25)</f>
        <v/>
      </c>
      <c r="I25" s="44">
        <f>I24+H25</f>
        <v/>
      </c>
    </row>
    <row r="26" ht="15" customHeight="1" s="27">
      <c r="A26" s="47" t="n">
        <v>22</v>
      </c>
      <c r="B26" s="47" t="inlineStr">
        <is>
          <t>Bakım</t>
        </is>
      </c>
      <c r="C26" s="38" t="n">
        <v>0</v>
      </c>
      <c r="D26" s="38">
        <f>Ozet!C27*1.2</f>
        <v/>
      </c>
      <c r="E26" s="38">
        <f>-Geliştirme_Araclari!E31</f>
        <v/>
      </c>
      <c r="F26" s="38" t="n">
        <v>0</v>
      </c>
      <c r="G26" s="38" t="n">
        <v>0</v>
      </c>
      <c r="H26" s="44">
        <f>SUM(C26:G26)</f>
        <v/>
      </c>
      <c r="I26" s="44">
        <f>I25+H26</f>
        <v/>
      </c>
    </row>
    <row r="27" ht="15" customHeight="1" s="27">
      <c r="A27" s="47" t="n">
        <v>23</v>
      </c>
      <c r="B27" s="47" t="inlineStr">
        <is>
          <t>Bakım</t>
        </is>
      </c>
      <c r="C27" s="38" t="n">
        <v>0</v>
      </c>
      <c r="D27" s="38">
        <f>Ozet!C27*1.2</f>
        <v/>
      </c>
      <c r="E27" s="38">
        <f>-Geliştirme_Araclari!E31</f>
        <v/>
      </c>
      <c r="F27" s="38" t="n">
        <v>0</v>
      </c>
      <c r="G27" s="38" t="n">
        <v>0</v>
      </c>
      <c r="H27" s="44">
        <f>SUM(C27:G27)</f>
        <v/>
      </c>
      <c r="I27" s="44">
        <f>I26+H27</f>
        <v/>
      </c>
    </row>
    <row r="28" ht="15" customHeight="1" s="27">
      <c r="A28" s="47" t="n">
        <v>24</v>
      </c>
      <c r="B28" s="47" t="inlineStr">
        <is>
          <t>Bakım</t>
        </is>
      </c>
      <c r="C28" s="38" t="n">
        <v>0</v>
      </c>
      <c r="D28" s="38">
        <f>Ozet!C27*1.2</f>
        <v/>
      </c>
      <c r="E28" s="38">
        <f>-Geliştirme_Araclari!E31</f>
        <v/>
      </c>
      <c r="F28" s="38" t="n">
        <v>0</v>
      </c>
      <c r="G28" s="38" t="n">
        <v>0</v>
      </c>
      <c r="H28" s="44">
        <f>SUM(C28:G28)</f>
        <v/>
      </c>
      <c r="I28" s="44">
        <f>I27+H28</f>
        <v/>
      </c>
    </row>
    <row r="29" ht="15" customHeight="1" s="27">
      <c r="A29" s="47" t="n">
        <v>25</v>
      </c>
      <c r="B29" s="47" t="inlineStr">
        <is>
          <t>Bakım</t>
        </is>
      </c>
      <c r="C29" s="38" t="n">
        <v>0</v>
      </c>
      <c r="D29" s="38">
        <f>Ozet!C27*1.2</f>
        <v/>
      </c>
      <c r="E29" s="38">
        <f>-Geliştirme_Araclari!E31</f>
        <v/>
      </c>
      <c r="F29" s="38" t="n">
        <v>0</v>
      </c>
      <c r="G29" s="38" t="n">
        <v>0</v>
      </c>
      <c r="H29" s="44">
        <f>SUM(C29:G29)</f>
        <v/>
      </c>
      <c r="I29" s="44">
        <f>I28+H29</f>
        <v/>
      </c>
    </row>
    <row r="30" ht="15" customHeight="1" s="27">
      <c r="A30" s="47" t="n">
        <v>26</v>
      </c>
      <c r="B30" s="47" t="inlineStr">
        <is>
          <t>Bakım</t>
        </is>
      </c>
      <c r="C30" s="38" t="n">
        <v>0</v>
      </c>
      <c r="D30" s="38">
        <f>Ozet!C27*1.2</f>
        <v/>
      </c>
      <c r="E30" s="38">
        <f>-Geliştirme_Araclari!E31</f>
        <v/>
      </c>
      <c r="F30" s="38" t="n">
        <v>0</v>
      </c>
      <c r="G30" s="38" t="n">
        <v>0</v>
      </c>
      <c r="H30" s="44">
        <f>SUM(C30:G30)</f>
        <v/>
      </c>
      <c r="I30" s="44">
        <f>I29+H30</f>
        <v/>
      </c>
    </row>
    <row r="31" ht="15" customHeight="1" s="27">
      <c r="A31" s="47" t="n">
        <v>27</v>
      </c>
      <c r="B31" s="47" t="inlineStr">
        <is>
          <t>Bakım</t>
        </is>
      </c>
      <c r="C31" s="38" t="n">
        <v>0</v>
      </c>
      <c r="D31" s="38">
        <f>Ozet!C27*1.2</f>
        <v/>
      </c>
      <c r="E31" s="38">
        <f>-Geliştirme_Araclari!E31</f>
        <v/>
      </c>
      <c r="F31" s="38" t="n">
        <v>0</v>
      </c>
      <c r="G31" s="38" t="n">
        <v>0</v>
      </c>
      <c r="H31" s="44">
        <f>SUM(C31:G31)</f>
        <v/>
      </c>
      <c r="I31" s="44">
        <f>I30+H31</f>
        <v/>
      </c>
    </row>
    <row r="32" ht="15" customHeight="1" s="27">
      <c r="A32" s="47" t="n">
        <v>28</v>
      </c>
      <c r="B32" s="47" t="inlineStr">
        <is>
          <t>Bakım</t>
        </is>
      </c>
      <c r="C32" s="38" t="n">
        <v>0</v>
      </c>
      <c r="D32" s="38">
        <f>Ozet!C27*1.2</f>
        <v/>
      </c>
      <c r="E32" s="38">
        <f>-Geliştirme_Araclari!E31</f>
        <v/>
      </c>
      <c r="F32" s="38" t="n">
        <v>0</v>
      </c>
      <c r="G32" s="38" t="n">
        <v>0</v>
      </c>
      <c r="H32" s="44">
        <f>SUM(C32:G32)</f>
        <v/>
      </c>
      <c r="I32" s="44">
        <f>I31+H32</f>
        <v/>
      </c>
    </row>
    <row r="33" ht="15" customHeight="1" s="27">
      <c r="A33" s="47" t="n">
        <v>29</v>
      </c>
      <c r="B33" s="47" t="inlineStr">
        <is>
          <t>Bakım</t>
        </is>
      </c>
      <c r="C33" s="38" t="n">
        <v>0</v>
      </c>
      <c r="D33" s="38">
        <f>Ozet!C27*1.2</f>
        <v/>
      </c>
      <c r="E33" s="38">
        <f>-Geliştirme_Araclari!E31</f>
        <v/>
      </c>
      <c r="F33" s="38" t="n">
        <v>0</v>
      </c>
      <c r="G33" s="38" t="n">
        <v>0</v>
      </c>
      <c r="H33" s="44">
        <f>SUM(C33:G33)</f>
        <v/>
      </c>
      <c r="I33" s="44">
        <f>I32+H33</f>
        <v/>
      </c>
    </row>
    <row r="34" ht="15" customHeight="1" s="27">
      <c r="A34" s="47" t="n">
        <v>30</v>
      </c>
      <c r="B34" s="47" t="inlineStr">
        <is>
          <t>Bakım</t>
        </is>
      </c>
      <c r="C34" s="38" t="n">
        <v>0</v>
      </c>
      <c r="D34" s="38">
        <f>Ozet!C27*1.2</f>
        <v/>
      </c>
      <c r="E34" s="38">
        <f>-Geliştirme_Araclari!E31</f>
        <v/>
      </c>
      <c r="F34" s="38" t="n">
        <v>0</v>
      </c>
      <c r="G34" s="38" t="n">
        <v>0</v>
      </c>
      <c r="H34" s="44">
        <f>SUM(C34:G34)</f>
        <v/>
      </c>
      <c r="I34" s="44">
        <f>I33+H34</f>
        <v/>
      </c>
    </row>
    <row r="36" ht="15" customHeight="1" s="27">
      <c r="A36" s="39" t="inlineStr">
        <is>
          <t>TOPLAM 30 AY</t>
        </is>
      </c>
      <c r="B36" s="31" t="n"/>
      <c r="C36" s="41">
        <f>SUM(C5:C34)</f>
        <v/>
      </c>
      <c r="D36" s="41">
        <f>SUM(D5:D34)</f>
        <v/>
      </c>
      <c r="E36" s="41">
        <f>SUM(E5:E34)</f>
        <v/>
      </c>
      <c r="F36" s="41">
        <f>SUM(F5:F34)</f>
        <v/>
      </c>
      <c r="G36" s="41">
        <f>SUM(G5:G34)</f>
        <v/>
      </c>
      <c r="H36" s="41">
        <f>SUM(H5:H34)</f>
        <v/>
      </c>
      <c r="I36" s="41">
        <f>I34</f>
        <v/>
      </c>
    </row>
  </sheetData>
  <mergeCells count="3">
    <mergeCell ref="A36:B3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26" min="1" max="1"/>
    <col width="28" customWidth="1" style="26" min="2" max="2"/>
    <col width="18" customWidth="1" style="26" min="3" max="5"/>
  </cols>
  <sheetData>
    <row r="1" ht="24" customHeight="1" s="27">
      <c r="A1" s="28" t="inlineStr">
        <is>
          <t>Müşteri Sözleşme Maddeleri &amp; Fiyat Yapısı</t>
        </is>
      </c>
    </row>
    <row r="2" ht="15" customHeight="1" s="27">
      <c r="A2" s="29" t="inlineStr">
        <is>
          <t>Bu sayfa anlaşma yapısı + paramların hatırlatıcı listesi. Excel formülünden bağımsız notlardır.</t>
        </is>
      </c>
    </row>
    <row r="4" ht="15" customHeight="1" s="27">
      <c r="A4" s="30" t="inlineStr">
        <is>
          <t>DEVİR BEDELİ ÖDEME PLANI</t>
        </is>
      </c>
      <c r="B4" s="31" t="n"/>
      <c r="C4" s="31" t="n"/>
      <c r="D4" s="31" t="n"/>
      <c r="E4" s="31" t="n"/>
    </row>
    <row r="5" ht="15" customHeight="1" s="27">
      <c r="A5" s="49" t="inlineStr">
        <is>
          <t>Madde</t>
        </is>
      </c>
      <c r="B5" s="49" t="inlineStr">
        <is>
          <t>Değer</t>
        </is>
      </c>
      <c r="C5" s="49" t="inlineStr">
        <is>
          <t>Açıklama</t>
        </is>
      </c>
    </row>
    <row r="6" ht="15" customHeight="1" s="27">
      <c r="A6" s="47" t="inlineStr">
        <is>
          <t>İmza üzerine peşin</t>
        </is>
      </c>
      <c r="B6" s="52" t="inlineStr">
        <is>
          <t>%30</t>
        </is>
      </c>
      <c r="C6" s="29" t="inlineStr">
        <is>
          <t>Sözleşme imzasında ödenir</t>
        </is>
      </c>
    </row>
    <row r="7" ht="15" customHeight="1" s="27">
      <c r="A7" s="47" t="inlineStr">
        <is>
          <t>Handover (kod + dökümantasyon teslim)</t>
        </is>
      </c>
      <c r="B7" s="52" t="inlineStr">
        <is>
          <t>%50</t>
        </is>
      </c>
      <c r="C7" s="29" t="inlineStr">
        <is>
          <t>Repo/sırlar geçişi sonrası 7 gün içinde</t>
        </is>
      </c>
    </row>
    <row r="8" ht="15" customHeight="1" s="27">
      <c r="A8" s="47" t="inlineStr">
        <is>
          <t>Stabilite kanıtı</t>
        </is>
      </c>
      <c r="B8" s="52" t="inlineStr">
        <is>
          <t>%20</t>
        </is>
      </c>
      <c r="C8" s="29" t="inlineStr">
        <is>
          <t>Üretimde 30 gün hatasız çalıştıktan sonra</t>
        </is>
      </c>
    </row>
    <row r="10" ht="15" customHeight="1" s="27">
      <c r="A10" s="30" t="inlineStr">
        <is>
          <t>BAKIM ANLAŞMASI KAPSAMI</t>
        </is>
      </c>
      <c r="B10" s="31" t="n"/>
      <c r="C10" s="31" t="n"/>
      <c r="D10" s="31" t="n"/>
      <c r="E10" s="31" t="n"/>
    </row>
    <row r="11" ht="15" customHeight="1" s="27">
      <c r="A11" s="49" t="inlineStr">
        <is>
          <t>Madde</t>
        </is>
      </c>
      <c r="B11" s="49" t="inlineStr">
        <is>
          <t>Değer</t>
        </is>
      </c>
      <c r="C11" s="49" t="inlineStr">
        <is>
          <t>Açıklama</t>
        </is>
      </c>
    </row>
    <row r="12" ht="15" customHeight="1" s="27">
      <c r="A12" s="47" t="inlineStr">
        <is>
          <t>Aylık taahhüt saati</t>
        </is>
      </c>
      <c r="B12" s="52" t="inlineStr">
        <is>
          <t>30-50 saat</t>
        </is>
      </c>
      <c r="C12" s="29" t="inlineStr">
        <is>
          <t>Üzeri saatlik 2.000 TL/saat (yeni feature)</t>
        </is>
      </c>
    </row>
    <row r="13" ht="15" customHeight="1" s="27">
      <c r="A13" s="47" t="inlineStr">
        <is>
          <t>Kritik bug response</t>
        </is>
      </c>
      <c r="B13" s="52" t="inlineStr">
        <is>
          <t>24 saat</t>
        </is>
      </c>
      <c r="C13" s="29" t="inlineStr">
        <is>
          <t>Üretimi durduran hatalar</t>
        </is>
      </c>
    </row>
    <row r="14" ht="15" customHeight="1" s="27">
      <c r="A14" s="47" t="inlineStr">
        <is>
          <t>Standart bug fix</t>
        </is>
      </c>
      <c r="B14" s="52" t="inlineStr">
        <is>
          <t>5 iş günü</t>
        </is>
      </c>
      <c r="C14" s="29" t="inlineStr">
        <is>
          <t>Hafif/orta seviye</t>
        </is>
      </c>
    </row>
    <row r="15" ht="15" customHeight="1" s="27">
      <c r="A15" s="47" t="inlineStr">
        <is>
          <t>Yeni feature</t>
        </is>
      </c>
      <c r="B15" s="52" t="inlineStr">
        <is>
          <t>Ayrı ücret</t>
        </is>
      </c>
      <c r="C15" s="29" t="inlineStr">
        <is>
          <t>Saatlik 2.000 TL veya proje bazlı teklif</t>
        </is>
      </c>
    </row>
    <row r="16" ht="15" customHeight="1" s="27">
      <c r="A16" s="47" t="inlineStr">
        <is>
          <t>Çalışma saatleri</t>
        </is>
      </c>
      <c r="B16" s="52" t="inlineStr">
        <is>
          <t>Mesai içi (TR saati)</t>
        </is>
      </c>
      <c r="C16" s="29" t="inlineStr">
        <is>
          <t>Acil durumda esneklik müzakere</t>
        </is>
      </c>
    </row>
    <row r="17" ht="15" customHeight="1" s="27">
      <c r="A17" s="47" t="inlineStr">
        <is>
          <t>Bakım enflasyon ayarı</t>
        </is>
      </c>
      <c r="B17" s="52" t="inlineStr">
        <is>
          <t>Yıllık %20 veya TÜFE</t>
        </is>
      </c>
      <c r="C17" s="29" t="inlineStr">
        <is>
          <t>Sözleşmede mutlaka olsun</t>
        </is>
      </c>
    </row>
    <row r="19" ht="15" customHeight="1" s="27">
      <c r="A19" s="30" t="inlineStr">
        <is>
          <t>SÖZLEŞMEDE OLMAZSA OLMAZLAR</t>
        </is>
      </c>
      <c r="B19" s="31" t="n"/>
      <c r="C19" s="31" t="n"/>
      <c r="D19" s="31" t="n"/>
      <c r="E19" s="31" t="n"/>
    </row>
    <row r="20" ht="15" customHeight="1" s="27">
      <c r="A20" s="49" t="inlineStr">
        <is>
          <t>Madde</t>
        </is>
      </c>
      <c r="B20" s="49" t="inlineStr">
        <is>
          <t>Değer</t>
        </is>
      </c>
      <c r="C20" s="49" t="inlineStr">
        <is>
          <t>Açıklama</t>
        </is>
      </c>
    </row>
    <row r="21" ht="15" customHeight="1" s="27">
      <c r="A21" s="47" t="inlineStr">
        <is>
          <t>AI API maliyetleri</t>
        </is>
      </c>
      <c r="B21" s="52" t="inlineStr">
        <is>
          <t>Alıcı öder</t>
        </is>
      </c>
      <c r="C21" s="29" t="inlineStr">
        <is>
          <t>OpenAI/Anthropic faturası alıcının hesabından</t>
        </is>
      </c>
    </row>
    <row r="22" ht="15" customHeight="1" s="27">
      <c r="A22" s="47" t="inlineStr">
        <is>
          <t>Hosting maliyetleri</t>
        </is>
      </c>
      <c r="B22" s="52" t="inlineStr">
        <is>
          <t>Alıcı öder (devirden sonra)</t>
        </is>
      </c>
      <c r="C22" s="29" t="inlineStr">
        <is>
          <t>Vercel, Supabase, CDN — alıcıya geçer</t>
        </is>
      </c>
    </row>
    <row r="23" ht="15" customHeight="1" s="27">
      <c r="A23" s="47" t="inlineStr">
        <is>
          <t>Non-compete sınırı</t>
        </is>
      </c>
      <c r="B23" s="52" t="inlineStr">
        <is>
          <t>12-18 ay, TR otel sektörü</t>
        </is>
      </c>
      <c r="C23" s="29" t="inlineStr">
        <is>
          <t>Dünya geneli sonsuz kabul ETME</t>
        </is>
      </c>
    </row>
    <row r="24" ht="15" customHeight="1" s="27">
      <c r="A24" s="47" t="inlineStr">
        <is>
          <t>Source code escrow</t>
        </is>
      </c>
      <c r="B24" s="52" t="inlineStr">
        <is>
          <t>İmzaya kadar repo paylaşma</t>
        </is>
      </c>
      <c r="C24" s="29" t="inlineStr">
        <is>
          <t>Demo + ekran kaydı yeterli</t>
        </is>
      </c>
    </row>
    <row r="25" ht="15" customHeight="1" s="27">
      <c r="A25" s="47" t="inlineStr">
        <is>
          <t>Stabilite garantisi</t>
        </is>
      </c>
      <c r="B25" s="52" t="inlineStr">
        <is>
          <t>30 gün post-handover</t>
        </is>
      </c>
      <c r="C25" s="29" t="inlineStr">
        <is>
          <t>Bu süre boyunca kritik bug ücretsiz</t>
        </is>
      </c>
    </row>
    <row r="26" ht="15" customHeight="1" s="27">
      <c r="A26" s="47" t="inlineStr">
        <is>
          <t>IP devri kapsamı</t>
        </is>
      </c>
      <c r="B26" s="52" t="inlineStr">
        <is>
          <t>Kod + tasarım + marka + dökümantasyon</t>
        </is>
      </c>
      <c r="C26" s="29" t="inlineStr">
        <is>
          <t>Açıkça listele</t>
        </is>
      </c>
    </row>
    <row r="27" ht="15" customHeight="1" s="27">
      <c r="A27" s="47" t="inlineStr">
        <is>
          <t>Sona erdirme şartları</t>
        </is>
      </c>
      <c r="B27" s="52" t="inlineStr">
        <is>
          <t>60 gün önceden bildirim</t>
        </is>
      </c>
      <c r="C27" s="29" t="inlineStr">
        <is>
          <t>Ani fesih senaryosunu engelle</t>
        </is>
      </c>
    </row>
    <row r="29" ht="15" customHeight="1" s="27">
      <c r="A29" s="30" t="inlineStr">
        <is>
          <t>FİYATLANDIRMA NOTLARI</t>
        </is>
      </c>
      <c r="B29" s="31" t="n"/>
      <c r="C29" s="31" t="n"/>
      <c r="D29" s="31" t="n"/>
      <c r="E29" s="31" t="n"/>
    </row>
    <row r="30" ht="15" customHeight="1" s="27">
      <c r="A30" s="49" t="inlineStr">
        <is>
          <t>Madde</t>
        </is>
      </c>
      <c r="B30" s="49" t="inlineStr">
        <is>
          <t>Değer</t>
        </is>
      </c>
      <c r="C30" s="49" t="inlineStr">
        <is>
          <t>Açıklama</t>
        </is>
      </c>
    </row>
    <row r="31" ht="15" customHeight="1" s="27">
      <c r="A31" s="47" t="inlineStr">
        <is>
          <t>İlk teklif anchor</t>
        </is>
      </c>
      <c r="B31" s="52" t="inlineStr">
        <is>
          <t>Premium senaryo (C)</t>
        </is>
      </c>
      <c r="C31" s="29" t="inlineStr">
        <is>
          <t>1.3M peşin + 65k/ay olarak başla</t>
        </is>
      </c>
    </row>
    <row r="32" ht="15" customHeight="1" s="27">
      <c r="A32" s="47" t="inlineStr">
        <is>
          <t>Pazarlık hedefi</t>
        </is>
      </c>
      <c r="B32" s="52" t="inlineStr">
        <is>
          <t>Hedef senaryo (B)</t>
        </is>
      </c>
      <c r="C32" s="29" t="inlineStr">
        <is>
          <t>1M peşin + 50k/ay'a inilebilir</t>
        </is>
      </c>
    </row>
    <row r="33" ht="15" customHeight="1" s="27">
      <c r="A33" s="47" t="inlineStr">
        <is>
          <t>Mutlak alt sınır</t>
        </is>
      </c>
      <c r="B33" s="52" t="inlineStr">
        <is>
          <t>Konservatif senaryo (A)</t>
        </is>
      </c>
      <c r="C33" s="29" t="inlineStr">
        <is>
          <t>800k peşin + 35k/ay altı kabul ETME</t>
        </is>
      </c>
    </row>
    <row r="34" ht="15" customHeight="1" s="27">
      <c r="A34" s="47" t="inlineStr">
        <is>
          <t>Yıllık peşin indirim</t>
        </is>
      </c>
      <c r="B34" s="52" t="inlineStr">
        <is>
          <t>%15 indirim</t>
        </is>
      </c>
      <c r="C34" s="29" t="inlineStr">
        <is>
          <t>Bakımı yıllık peşin ödeyene</t>
        </is>
      </c>
    </row>
    <row r="35" ht="15" customHeight="1" s="27">
      <c r="A35" s="47" t="inlineStr">
        <is>
          <t>Eklenen otel/property primi</t>
        </is>
      </c>
      <c r="B35" s="52" t="inlineStr">
        <is>
          <t>%30-40 sürşarj</t>
        </is>
      </c>
      <c r="C35" s="29" t="inlineStr">
        <is>
          <t>Multi-property ölçeklenirse</t>
        </is>
      </c>
    </row>
  </sheetData>
  <mergeCells count="31">
    <mergeCell ref="C16:E16"/>
    <mergeCell ref="C31:E31"/>
    <mergeCell ref="C22:E22"/>
    <mergeCell ref="A1:E1"/>
    <mergeCell ref="C21:E21"/>
    <mergeCell ref="C12:E12"/>
    <mergeCell ref="C11:E11"/>
    <mergeCell ref="C27:E27"/>
    <mergeCell ref="C23:E23"/>
    <mergeCell ref="C8:E8"/>
    <mergeCell ref="C17:E17"/>
    <mergeCell ref="C7:E7"/>
    <mergeCell ref="C32:E32"/>
    <mergeCell ref="C13:E13"/>
    <mergeCell ref="A2:E2"/>
    <mergeCell ref="C30:E30"/>
    <mergeCell ref="C34:E34"/>
    <mergeCell ref="C15:E15"/>
    <mergeCell ref="C6:E6"/>
    <mergeCell ref="C24:E24"/>
    <mergeCell ref="A29:E29"/>
    <mergeCell ref="A4:E4"/>
    <mergeCell ref="C14:E14"/>
    <mergeCell ref="C33:E33"/>
    <mergeCell ref="C5:E5"/>
    <mergeCell ref="A10:E10"/>
    <mergeCell ref="A19:E19"/>
    <mergeCell ref="C26:E26"/>
    <mergeCell ref="C35:E35"/>
    <mergeCell ref="C20:E20"/>
    <mergeCell ref="C25:E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6" customWidth="1" style="27" min="1" max="1"/>
    <col width="14" customWidth="1" style="27" min="2" max="2"/>
    <col width="12" customWidth="1" style="27" min="3" max="3"/>
    <col width="52" customWidth="1" style="27" min="4" max="4"/>
  </cols>
  <sheetData>
    <row r="1">
      <c r="A1" s="53" t="inlineStr">
        <is>
          <t>Canlı altyapı (üretim) — Geliştirme araçları (IDE, agent abonelikleri) hariç</t>
        </is>
      </c>
    </row>
    <row r="2" ht="48" customHeight="1" s="27">
      <c r="A2" s="54" t="inlineStr">
        <is>
          <t>Barındırma (Vercel), veritabanı (Supabase/Postgres), video (Cloudflare Stream), depolama (R2), e-posta, hata/ürün analitiği, cache (Redis), alan adı, opsiyonel CF Pro. Yapay zekâ API (LLM/STT/TTS) ayrı kalem: kullanım başı — ayrıntı AI_Uretim sayfası.</t>
        </is>
      </c>
    </row>
    <row r="4">
      <c r="A4" s="55" t="inlineStr">
        <is>
          <t>PARAMETRELER</t>
        </is>
      </c>
      <c r="B4" s="56" t="n"/>
      <c r="C4" s="56" t="n"/>
      <c r="D4" s="56" t="n"/>
    </row>
    <row r="5">
      <c r="A5" s="26" t="inlineStr">
        <is>
          <t>USD/TL kuru (Ozet B5 referansı)</t>
        </is>
      </c>
      <c r="B5" s="26">
        <f>Ozet!$B$5</f>
        <v/>
      </c>
      <c r="D5" s="26" t="inlineStr">
        <is>
          <t>Kur; TL sütunları = USD × bu hücre. Nisan 2026 tahmini Ozet’te 40 olabilir.</t>
        </is>
      </c>
    </row>
    <row r="6">
      <c r="A6" s="26" t="inlineStr">
        <is>
          <t>Katalog toplam video (dk) — Stream saklama hacmi</t>
        </is>
      </c>
      <c r="B6" s="26" t="n">
        <v>2500</v>
      </c>
      <c r="D6" s="26" t="inlineStr">
        <is>
          <t>Tüm turların depodaki toplam dakikası. Cloudflare: 5 USD / 1000 dk saklama</t>
        </is>
      </c>
    </row>
    <row r="7">
      <c r="A7" s="26" t="inlineStr">
        <is>
          <t>Aylık toplam izlenen video (dk) — Stream delivery</t>
        </is>
      </c>
      <c r="B7" s="26" t="n">
        <v>50000</v>
      </c>
      <c r="D7" s="26" t="inlineStr">
        <is>
          <t>Aylık oynatılan toplam dakika. Cloudflare: 1 USD / 1000 dk — ana değişken gider</t>
        </is>
      </c>
    </row>
    <row r="9">
      <c r="A9" s="57" t="inlineStr">
        <is>
          <t>Kalem</t>
        </is>
      </c>
      <c r="B9" s="57" t="inlineStr">
        <is>
          <t>USD/ay</t>
        </is>
      </c>
      <c r="C9" s="57" t="inlineStr">
        <is>
          <t>TL/ay</t>
        </is>
      </c>
      <c r="D9" s="57" t="inlineStr">
        <is>
          <t>Notlar (kaynak: sağlayıcı fiyat sayfaları, 2025–2026)</t>
        </is>
      </c>
    </row>
    <row r="10">
      <c r="A10" s="26" t="inlineStr">
        <is>
          <t>Vercel Pro — platform + 1 koltuk (taban)</t>
        </is>
      </c>
      <c r="B10" s="26" t="n">
        <v>20</v>
      </c>
      <c r="C10" s="26">
        <f>B10*$B$5</f>
        <v/>
      </c>
      <c r="D10" s="26" t="inlineStr">
        <is>
          <t>vercel.com/pricing — ayrıca kullanım kredisi/edge; trafik arttıkça artar</t>
        </is>
      </c>
    </row>
    <row r="11">
      <c r="A11" s="26" t="inlineStr">
        <is>
          <t>Vercel — edge/bandwidth/görüntü (tahmini ek)</t>
        </is>
      </c>
      <c r="B11" s="26" t="n">
        <v>30</v>
      </c>
      <c r="C11" s="26">
        <f>B11*$B$5</f>
        <v/>
      </c>
      <c r="D11" s="26" t="inlineStr">
        <is>
          <t>Düşük-orta trafik için tahmini; yüksek trafikte 50–200+ olabilir</t>
        </is>
      </c>
    </row>
    <row r="12">
      <c r="A12" s="26" t="inlineStr">
        <is>
          <t>Supabase Pro — taban (Postgres, Auth, Storage kotaları)</t>
        </is>
      </c>
      <c r="B12" s="26" t="n">
        <v>25</v>
      </c>
      <c r="C12" s="26">
        <f>B12*$B$5</f>
        <v/>
      </c>
      <c r="D12" s="26" t="inlineStr">
        <is>
          <t>supabase.com/pricing</t>
        </is>
      </c>
    </row>
    <row r="13">
      <c r="A13" s="26" t="inlineStr">
        <is>
          <t>Supabase — compute + MAU/egress aşımı (tahmini)</t>
        </is>
      </c>
      <c r="B13" s="26" t="n">
        <v>40</v>
      </c>
      <c r="C13" s="26">
        <f>B13*$B$5</f>
        <v/>
      </c>
      <c r="D13" s="26" t="inlineStr">
        <is>
          <t>Büyüyünce; tek başına 25–150 USD bandı tipik (MAU, egress, large compute)</t>
        </is>
      </c>
    </row>
    <row r="14">
      <c r="A14" s="26" t="inlineStr">
        <is>
          <t>Cloudflare R2 — nesne depolama (görsel, export, yedek)</t>
        </is>
      </c>
      <c r="B14" s="26" t="n">
        <v>8</v>
      </c>
      <c r="C14" s="26">
        <f>B14*$B$5</f>
        <v/>
      </c>
      <c r="D14" s="26" t="inlineStr">
        <is>
          <t>0,015 USD/GB-ay; egress yok — developers.cloudflare.com/r2/pricing</t>
        </is>
      </c>
    </row>
    <row r="15">
      <c r="A15" s="26" t="inlineStr">
        <is>
          <t>Cloudflare Stream — video saklama (formül)</t>
        </is>
      </c>
      <c r="B15" s="26">
        <f>ROUND($B$6/1000*5,2)</f>
        <v/>
      </c>
      <c r="C15" s="26">
        <f>B15*$B$5</f>
        <v/>
      </c>
      <c r="D15" s="26" t="inlineStr">
        <is>
          <t>5 USD / 1000 dakika; B6 = katalog toplam dk</t>
        </is>
      </c>
    </row>
    <row r="16">
      <c r="A16" s="26" t="inlineStr">
        <is>
          <t>Cloudflare Stream — video oynatma / delivery (formül)</t>
        </is>
      </c>
      <c r="B16" s="26">
        <f>ROUND($B$7/1000*1,2)</f>
        <v/>
      </c>
      <c r="C16" s="26">
        <f>B16*$B$5</f>
        <v/>
      </c>
      <c r="D16" s="26" t="inlineStr">
        <is>
          <t>1 USD / 1000 izlenen dakika; B7 = aylık delivery dk</t>
        </is>
      </c>
    </row>
    <row r="17">
      <c r="A17" s="26" t="inlineStr">
        <is>
          <t>Cloudflare (Pro) — WAF/özel ihtiyaç (opsiyonel)</t>
        </is>
      </c>
      <c r="B17" s="26" t="n">
        <v>0</v>
      </c>
      <c r="C17" s="26">
        <f>B17*$B$5</f>
        <v/>
      </c>
      <c r="D17" s="26" t="inlineStr">
        <is>
          <t>Gerekirse; Stream’den ayrı — cloudflare.com/plans</t>
        </is>
      </c>
    </row>
    <row r="18">
      <c r="A18" s="26" t="inlineStr">
        <is>
          <t>Resend — transactional e-posta</t>
        </is>
      </c>
      <c r="B18" s="26" t="n">
        <v>0</v>
      </c>
      <c r="C18" s="26">
        <f>B18*$B$5</f>
        <v/>
      </c>
      <c r="D18" s="26" t="inlineStr">
        <is>
          <t>Kota içi ücretsiz; 50k+ e-posta için Pro ~20 USD — resend.com/pricing</t>
        </is>
      </c>
    </row>
    <row r="19">
      <c r="A19" s="26" t="inlineStr">
        <is>
          <t>Sentry — hata izleme (Team, tipik)</t>
        </is>
      </c>
      <c r="B19" s="26" t="n">
        <v>26</v>
      </c>
      <c r="C19" s="26">
        <f>B19*$B$5</f>
        <v/>
      </c>
      <c r="D19" s="26" t="inlineStr">
        <is>
          <t>Yıllık faturalamada ~26; aylık farklı — sentry.io/pricing; ücretsiz Developer alternatif</t>
        </is>
      </c>
    </row>
    <row r="20">
      <c r="A20" s="26" t="inlineStr">
        <is>
          <t>PostHog — ürün analitiği</t>
        </is>
      </c>
      <c r="B20" s="26" t="n">
        <v>0</v>
      </c>
      <c r="C20" s="26">
        <f>B20*$B$5</f>
        <v/>
      </c>
      <c r="D20" s="26" t="inlineStr">
        <is>
          <t>1M event/ay ücretsiz; üstü pay-as-you-go — posthog.com/pricing</t>
        </is>
      </c>
    </row>
    <row r="21">
      <c r="A21" s="26" t="inlineStr">
        <is>
          <t>Upstash — Redis (cache, rate limit, kuyruk)</t>
        </is>
      </c>
      <c r="B21" s="26" t="n">
        <v>10</v>
      </c>
      <c r="C21" s="26">
        <f>B21*$B$5</f>
        <v/>
      </c>
      <c r="D21" s="26" t="inlineStr">
        <is>
          <t>Sabit 10+ veya PAYG; upstash.com/pricing</t>
        </is>
      </c>
    </row>
    <row r="22">
      <c r="A22" s="26" t="inlineStr">
        <is>
          <t>Edge Functions / arka plan (Supabase, CF Workers) aşım (tahmini)</t>
        </is>
      </c>
      <c r="B22" s="26" t="n">
        <v>15</v>
      </c>
      <c r="C22" s="26">
        <f>B22*$B$5</f>
        <v/>
      </c>
      <c r="D22" s="26" t="inlineStr">
        <is>
          <t>İş yüküne göre; düşük başlangıçta 0–15 USD</t>
        </is>
      </c>
    </row>
    <row r="23">
      <c r="A23" s="26" t="inlineStr">
        <is>
          <t>Alan adı + DNS (ortalama/ay)</t>
        </is>
      </c>
      <c r="B23" s="26" t="n">
        <v>1.5</v>
      </c>
      <c r="C23" s="26">
        <f>B23*$B$5</f>
        <v/>
      </c>
      <c r="D23" s="26" t="inlineStr">
        <is>
          <t>Yıllık ~18 USD / 12</t>
        </is>
      </c>
    </row>
    <row r="24">
      <c r="A24" s="26" t="inlineStr">
        <is>
          <t>Yedekleme / PITR eklentisi (Supabase, opsiyonel)</t>
        </is>
      </c>
      <c r="B24" s="26" t="n">
        <v>0</v>
      </c>
      <c r="C24" s="26">
        <f>B24*$B$5</f>
        <v/>
      </c>
      <c r="D24" s="26" t="inlineStr">
        <is>
          <t>Gerekirse ayrı satır; Supabase fiyat listesi</t>
        </is>
      </c>
    </row>
    <row r="25">
      <c r="A25" s="26" t="inlineStr">
        <is>
          <t>Beklenmeyen transfer / e-posta aşımı (tampon)</t>
        </is>
      </c>
      <c r="B25" s="26" t="n">
        <v>10</v>
      </c>
      <c r="C25" s="26">
        <f>B25*$B$5</f>
        <v/>
      </c>
      <c r="D25" s="26" t="inlineStr">
        <is>
          <t>Egress veya sürpriz kalemler için küçük tampon</t>
        </is>
      </c>
    </row>
    <row r="26">
      <c r="A26" s="55" t="inlineStr">
        <is>
          <t>TOPLAM (altyapı + video formülleri)</t>
        </is>
      </c>
      <c r="B26" s="56">
        <f>SUM(B10:B25)</f>
        <v/>
      </c>
      <c r="C26" s="56">
        <f>SUM(C10:C25)</f>
        <v/>
      </c>
      <c r="D26" s="56" t="inlineStr">
        <is>
          <t>B6/B7 değiştikçe Stream satırları ve toplam güncellenir</t>
        </is>
      </c>
    </row>
    <row r="28" ht="36" customHeight="1" s="27">
      <c r="A28" s="58" t="inlineStr">
        <is>
          <t>Yapay zekâ API (OpenAI, Anthropic, STT, TTS, embedding): Bu sayfaya dahil DEĞİL. Aylık toplam = kullanım × birim fiyat; tahmin için AI_Uretim sayfasındaki parametreler.</t>
        </is>
      </c>
    </row>
  </sheetData>
  <mergeCells count="3">
    <mergeCell ref="A1:D1"/>
    <mergeCell ref="A28:D2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2026-04-25T11:08:08Z</dcterms:created>
  <dcterms:modified xsi:type="dcterms:W3CDTF">2026-10-03T19:27:49Z</dcterms:modified>
  <cp:revision>0</cp:revision>
</cp:coreProperties>
</file>